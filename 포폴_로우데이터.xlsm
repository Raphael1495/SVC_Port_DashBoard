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hyundaigrp-my.sharepoint.com/personal/hj_kwon1_hdel_co_kr/Documents/01.서비스경영관리팀/★회의/05_서비스_포트폴리오_담당회의보고/HTML_작업/"/>
    </mc:Choice>
  </mc:AlternateContent>
  <xr:revisionPtr revIDLastSave="5432" documentId="8_{4DD010DF-307F-460E-9E1F-FD5BE93BC232}" xr6:coauthVersionLast="47" xr6:coauthVersionMax="47" xr10:uidLastSave="{706C994E-5EBD-4938-9450-11D4BCFBE57E}"/>
  <bookViews>
    <workbookView xWindow="28680" yWindow="-5670" windowWidth="38640" windowHeight="21240" tabRatio="924" xr2:uid="{D42A359F-3A28-474D-BF1C-922D4D7231DC}"/>
  </bookViews>
  <sheets>
    <sheet name="대수" sheetId="5" r:id="rId1"/>
    <sheet name="단가" sheetId="6" r:id="rId2"/>
    <sheet name="단가_25" sheetId="152" r:id="rId3"/>
    <sheet name="대수_25" sheetId="151" r:id="rId4"/>
  </sheets>
  <definedNames>
    <definedName name="_xlnm._FilterDatabase" localSheetId="1" hidden="1">단가!$A$2:$HV$2</definedName>
    <definedName name="_xlnm._FilterDatabase" localSheetId="2" hidden="1">단가_25!$A$2:$HV$59</definedName>
    <definedName name="_xlnm._FilterDatabase" localSheetId="0" hidden="1">대수!$A$2:$IO$59</definedName>
    <definedName name="_xlnm._FilterDatabase" localSheetId="3" hidden="1">대수_25!$A$2:$HW$59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F53" i="151" l="1"/>
  <c r="EF52" i="151"/>
  <c r="EF51" i="151"/>
  <c r="EF50" i="151"/>
  <c r="EF49" i="151"/>
  <c r="EF48" i="151"/>
  <c r="EF47" i="151"/>
  <c r="AO53" i="151"/>
  <c r="AO52" i="151"/>
  <c r="AO51" i="151"/>
  <c r="AO50" i="151"/>
  <c r="AO49" i="151"/>
  <c r="AO48" i="151"/>
  <c r="AO47" i="151"/>
  <c r="BH53" i="151"/>
  <c r="BH52" i="151"/>
  <c r="BH51" i="151"/>
  <c r="BH50" i="151"/>
  <c r="BH49" i="151"/>
  <c r="BH48" i="151"/>
  <c r="BH47" i="151"/>
  <c r="CA53" i="151"/>
  <c r="CA52" i="151"/>
  <c r="CA51" i="151"/>
  <c r="CA50" i="151"/>
  <c r="CA49" i="151"/>
  <c r="CA48" i="151"/>
  <c r="CA47" i="151"/>
  <c r="CT53" i="151"/>
  <c r="CT52" i="151"/>
  <c r="CT51" i="151"/>
  <c r="CT50" i="151"/>
  <c r="CT49" i="151"/>
  <c r="CT48" i="151"/>
  <c r="CT47" i="151"/>
  <c r="V53" i="151"/>
  <c r="V52" i="151"/>
  <c r="V51" i="151"/>
  <c r="V50" i="151"/>
  <c r="V49" i="151"/>
  <c r="V48" i="151"/>
  <c r="V47" i="151"/>
  <c r="C53" i="151"/>
  <c r="C52" i="151"/>
  <c r="C51" i="151"/>
  <c r="C50" i="151"/>
  <c r="C49" i="151"/>
  <c r="C48" i="151"/>
  <c r="C47" i="151"/>
  <c r="DM53" i="151"/>
  <c r="DM52" i="151"/>
  <c r="DM51" i="151"/>
  <c r="DM50" i="151"/>
  <c r="DM49" i="151"/>
  <c r="DM48" i="151"/>
  <c r="DM47" i="151"/>
  <c r="EY53" i="151"/>
  <c r="EY52" i="151"/>
  <c r="EY51" i="151"/>
  <c r="EY50" i="151"/>
  <c r="EY49" i="151"/>
  <c r="EY48" i="151"/>
  <c r="EY47" i="151"/>
  <c r="FR53" i="151"/>
  <c r="FR52" i="151"/>
  <c r="FR51" i="151"/>
  <c r="FR50" i="151"/>
  <c r="FR49" i="151"/>
  <c r="FR48" i="151"/>
  <c r="FR47" i="151"/>
  <c r="GK53" i="151"/>
  <c r="GK52" i="151"/>
  <c r="GK51" i="151"/>
  <c r="GK50" i="151"/>
  <c r="GK49" i="151"/>
  <c r="GK48" i="151"/>
  <c r="GK47" i="151"/>
  <c r="HD53" i="151"/>
  <c r="HD52" i="151"/>
  <c r="HD51" i="151"/>
  <c r="HD50" i="151"/>
  <c r="HD49" i="151"/>
  <c r="HD48" i="151"/>
  <c r="HD47" i="151"/>
  <c r="HW53" i="151"/>
  <c r="HW52" i="151"/>
  <c r="HW51" i="151"/>
  <c r="HW50" i="151"/>
  <c r="HW49" i="151"/>
  <c r="HW48" i="151"/>
  <c r="HW47" i="151"/>
  <c r="HW46" i="151"/>
  <c r="HW45" i="151"/>
  <c r="HW44" i="151"/>
  <c r="HW43" i="151"/>
  <c r="HW42" i="151"/>
  <c r="HW41" i="151"/>
  <c r="HW40" i="151"/>
  <c r="HW39" i="151"/>
  <c r="HW38" i="151"/>
  <c r="HW37" i="151"/>
  <c r="HW36" i="151"/>
  <c r="HW35" i="151"/>
  <c r="HW34" i="151"/>
  <c r="HW33" i="151"/>
  <c r="HW32" i="151"/>
  <c r="HW31" i="151"/>
  <c r="HW30" i="151"/>
  <c r="HW29" i="151"/>
  <c r="HW28" i="151"/>
  <c r="HW27" i="151"/>
  <c r="HW26" i="151"/>
  <c r="HW25" i="151"/>
  <c r="HW24" i="151"/>
  <c r="HW23" i="151"/>
  <c r="HW22" i="151"/>
  <c r="HW21" i="151"/>
  <c r="HW20" i="151"/>
  <c r="HW19" i="151"/>
  <c r="HW18" i="151"/>
  <c r="HW17" i="151"/>
  <c r="HW16" i="151"/>
  <c r="HW15" i="151"/>
  <c r="HW14" i="151"/>
  <c r="HW13" i="151"/>
  <c r="HW12" i="151"/>
  <c r="HW11" i="151"/>
  <c r="HW10" i="151"/>
  <c r="HW9" i="151"/>
  <c r="HW8" i="151"/>
  <c r="HW7" i="151"/>
  <c r="HW6" i="151"/>
  <c r="HW5" i="151"/>
  <c r="HW4" i="151"/>
  <c r="HW3" i="151"/>
  <c r="U23" i="5"/>
  <c r="AN23" i="5"/>
  <c r="BG23" i="5"/>
  <c r="U26" i="5"/>
  <c r="AN26" i="5"/>
  <c r="HV59" i="152"/>
  <c r="HU59" i="152"/>
  <c r="HT59" i="152"/>
  <c r="HS59" i="152"/>
  <c r="HR59" i="152"/>
  <c r="HQ59" i="152"/>
  <c r="HP59" i="152"/>
  <c r="HO59" i="152"/>
  <c r="HN59" i="152"/>
  <c r="HM59" i="152"/>
  <c r="HL59" i="152"/>
  <c r="HK59" i="152"/>
  <c r="HJ59" i="152"/>
  <c r="HI59" i="152"/>
  <c r="HH59" i="152"/>
  <c r="HG59" i="152"/>
  <c r="HF59" i="152"/>
  <c r="HE59" i="152"/>
  <c r="HD59" i="152"/>
  <c r="HC59" i="152"/>
  <c r="HB59" i="152"/>
  <c r="HA59" i="152"/>
  <c r="GZ59" i="152"/>
  <c r="GY59" i="152"/>
  <c r="GX59" i="152"/>
  <c r="GW59" i="152"/>
  <c r="GV59" i="152"/>
  <c r="GU59" i="152"/>
  <c r="GT59" i="152"/>
  <c r="GS59" i="152"/>
  <c r="GR59" i="152"/>
  <c r="GQ59" i="152"/>
  <c r="GP59" i="152"/>
  <c r="GO59" i="152"/>
  <c r="GN59" i="152"/>
  <c r="GM59" i="152"/>
  <c r="GL59" i="152"/>
  <c r="GK59" i="152"/>
  <c r="GJ59" i="152"/>
  <c r="GI59" i="152"/>
  <c r="GH59" i="152"/>
  <c r="GG59" i="152"/>
  <c r="GF59" i="152"/>
  <c r="GE59" i="152"/>
  <c r="GD59" i="152"/>
  <c r="GC59" i="152"/>
  <c r="GB59" i="152"/>
  <c r="GA59" i="152"/>
  <c r="FZ59" i="152"/>
  <c r="FY59" i="152"/>
  <c r="FX59" i="152"/>
  <c r="FW59" i="152"/>
  <c r="FV59" i="152"/>
  <c r="FU59" i="152"/>
  <c r="FT59" i="152"/>
  <c r="FS59" i="152"/>
  <c r="FR59" i="152"/>
  <c r="FQ59" i="152"/>
  <c r="FP59" i="152"/>
  <c r="FO59" i="152"/>
  <c r="FN59" i="152"/>
  <c r="FM59" i="152"/>
  <c r="FL59" i="152"/>
  <c r="FK59" i="152"/>
  <c r="FJ59" i="152"/>
  <c r="FI59" i="152"/>
  <c r="FH59" i="152"/>
  <c r="FG59" i="152"/>
  <c r="FF59" i="152"/>
  <c r="FE59" i="152"/>
  <c r="FD59" i="152"/>
  <c r="FC59" i="152"/>
  <c r="FB59" i="152"/>
  <c r="FA59" i="152"/>
  <c r="EZ59" i="152"/>
  <c r="EY59" i="152"/>
  <c r="EX59" i="152"/>
  <c r="EW59" i="152"/>
  <c r="EV59" i="152"/>
  <c r="EU59" i="152"/>
  <c r="ET59" i="152"/>
  <c r="ES59" i="152"/>
  <c r="ER59" i="152"/>
  <c r="EQ59" i="152"/>
  <c r="EP59" i="152"/>
  <c r="EO59" i="152"/>
  <c r="EN59" i="152"/>
  <c r="EM59" i="152"/>
  <c r="EL59" i="152"/>
  <c r="EK59" i="152"/>
  <c r="EJ59" i="152"/>
  <c r="EI59" i="152"/>
  <c r="EH59" i="152"/>
  <c r="EG59" i="152"/>
  <c r="EF59" i="152"/>
  <c r="EE59" i="152"/>
  <c r="ED59" i="152"/>
  <c r="EC59" i="152"/>
  <c r="EB59" i="152"/>
  <c r="EA59" i="152"/>
  <c r="DZ59" i="152"/>
  <c r="DY59" i="152"/>
  <c r="DX59" i="152"/>
  <c r="DW59" i="152"/>
  <c r="DV59" i="152"/>
  <c r="DU59" i="152"/>
  <c r="DT59" i="152"/>
  <c r="DS59" i="152"/>
  <c r="DR59" i="152"/>
  <c r="DQ59" i="152"/>
  <c r="DP59" i="152"/>
  <c r="DO59" i="152"/>
  <c r="DN59" i="152"/>
  <c r="DM59" i="152"/>
  <c r="DL59" i="152"/>
  <c r="DK59" i="152"/>
  <c r="DJ59" i="152"/>
  <c r="DI59" i="152"/>
  <c r="DH59" i="152"/>
  <c r="DG59" i="152"/>
  <c r="DF59" i="152"/>
  <c r="DE59" i="152"/>
  <c r="DD59" i="152"/>
  <c r="DC59" i="152"/>
  <c r="DB59" i="152"/>
  <c r="DA59" i="152"/>
  <c r="CZ59" i="152"/>
  <c r="CY59" i="152"/>
  <c r="CX59" i="152"/>
  <c r="CW59" i="152"/>
  <c r="CV59" i="152"/>
  <c r="CU59" i="152"/>
  <c r="CT59" i="152"/>
  <c r="CS59" i="152"/>
  <c r="CR59" i="152"/>
  <c r="CQ59" i="152"/>
  <c r="CP59" i="152"/>
  <c r="CO59" i="152"/>
  <c r="CN59" i="152"/>
  <c r="CM59" i="152"/>
  <c r="CL59" i="152"/>
  <c r="CK59" i="152"/>
  <c r="CJ59" i="152"/>
  <c r="CI59" i="152"/>
  <c r="CH59" i="152"/>
  <c r="CG59" i="152"/>
  <c r="CF59" i="152"/>
  <c r="CE59" i="152"/>
  <c r="CD59" i="152"/>
  <c r="CC59" i="152"/>
  <c r="CB59" i="152"/>
  <c r="CA59" i="152"/>
  <c r="BZ59" i="152"/>
  <c r="BY59" i="152"/>
  <c r="BX59" i="152"/>
  <c r="BW59" i="152"/>
  <c r="BV59" i="152"/>
  <c r="BU59" i="152"/>
  <c r="BT59" i="152"/>
  <c r="BS59" i="152"/>
  <c r="BR59" i="152"/>
  <c r="BQ59" i="152"/>
  <c r="BP59" i="152"/>
  <c r="BO59" i="152"/>
  <c r="BN59" i="152"/>
  <c r="BM59" i="152"/>
  <c r="BL59" i="152"/>
  <c r="BK59" i="152"/>
  <c r="BJ59" i="152"/>
  <c r="BI59" i="152"/>
  <c r="BH59" i="152"/>
  <c r="BG59" i="152"/>
  <c r="BF59" i="152"/>
  <c r="BE59" i="152"/>
  <c r="BD59" i="152"/>
  <c r="BC59" i="152"/>
  <c r="BB59" i="152"/>
  <c r="BA59" i="152"/>
  <c r="AZ59" i="152"/>
  <c r="AY59" i="152"/>
  <c r="AX59" i="152"/>
  <c r="AW59" i="152"/>
  <c r="AV59" i="152"/>
  <c r="AU59" i="152"/>
  <c r="AT59" i="152"/>
  <c r="AS59" i="152"/>
  <c r="AR59" i="152"/>
  <c r="AQ59" i="152"/>
  <c r="AP59" i="152"/>
  <c r="AO59" i="152"/>
  <c r="AN59" i="152"/>
  <c r="HV58" i="152"/>
  <c r="HU58" i="152"/>
  <c r="HT58" i="152"/>
  <c r="HS58" i="152"/>
  <c r="HR58" i="152"/>
  <c r="HQ58" i="152"/>
  <c r="HP58" i="152"/>
  <c r="HO58" i="152"/>
  <c r="HN58" i="152"/>
  <c r="HM58" i="152"/>
  <c r="HL58" i="152"/>
  <c r="HK58" i="152"/>
  <c r="HJ58" i="152"/>
  <c r="HI58" i="152"/>
  <c r="HH58" i="152"/>
  <c r="HG58" i="152"/>
  <c r="HF58" i="152"/>
  <c r="HE58" i="152"/>
  <c r="HD58" i="152"/>
  <c r="HC58" i="152"/>
  <c r="HB58" i="152"/>
  <c r="HA58" i="152"/>
  <c r="GZ58" i="152"/>
  <c r="GY58" i="152"/>
  <c r="GX58" i="152"/>
  <c r="GW58" i="152"/>
  <c r="GV58" i="152"/>
  <c r="GU58" i="152"/>
  <c r="GT58" i="152"/>
  <c r="GS58" i="152"/>
  <c r="GR58" i="152"/>
  <c r="GQ58" i="152"/>
  <c r="GP58" i="152"/>
  <c r="GO58" i="152"/>
  <c r="GN58" i="152"/>
  <c r="GM58" i="152"/>
  <c r="GL58" i="152"/>
  <c r="GK58" i="152"/>
  <c r="GJ58" i="152"/>
  <c r="GI58" i="152"/>
  <c r="GH58" i="152"/>
  <c r="GG58" i="152"/>
  <c r="GF58" i="152"/>
  <c r="GE58" i="152"/>
  <c r="GD58" i="152"/>
  <c r="GC58" i="152"/>
  <c r="GB58" i="152"/>
  <c r="GA58" i="152"/>
  <c r="FZ58" i="152"/>
  <c r="FY58" i="152"/>
  <c r="FX58" i="152"/>
  <c r="FW58" i="152"/>
  <c r="FV58" i="152"/>
  <c r="FU58" i="152"/>
  <c r="FT58" i="152"/>
  <c r="FS58" i="152"/>
  <c r="FR58" i="152"/>
  <c r="FQ58" i="152"/>
  <c r="FP58" i="152"/>
  <c r="FO58" i="152"/>
  <c r="FN58" i="152"/>
  <c r="FM58" i="152"/>
  <c r="FL58" i="152"/>
  <c r="FK58" i="152"/>
  <c r="FJ58" i="152"/>
  <c r="FI58" i="152"/>
  <c r="FH58" i="152"/>
  <c r="FG58" i="152"/>
  <c r="FF58" i="152"/>
  <c r="FE58" i="152"/>
  <c r="FD58" i="152"/>
  <c r="FC58" i="152"/>
  <c r="FB58" i="152"/>
  <c r="FA58" i="152"/>
  <c r="EZ58" i="152"/>
  <c r="EY58" i="152"/>
  <c r="EX58" i="152"/>
  <c r="EW58" i="152"/>
  <c r="EV58" i="152"/>
  <c r="EU58" i="152"/>
  <c r="ET58" i="152"/>
  <c r="ES58" i="152"/>
  <c r="ER58" i="152"/>
  <c r="EQ58" i="152"/>
  <c r="EP58" i="152"/>
  <c r="EO58" i="152"/>
  <c r="EN58" i="152"/>
  <c r="EM58" i="152"/>
  <c r="EL58" i="152"/>
  <c r="EK58" i="152"/>
  <c r="EJ58" i="152"/>
  <c r="EI58" i="152"/>
  <c r="EH58" i="152"/>
  <c r="EG58" i="152"/>
  <c r="EF58" i="152"/>
  <c r="EE58" i="152"/>
  <c r="ED58" i="152"/>
  <c r="EC58" i="152"/>
  <c r="EB58" i="152"/>
  <c r="EA58" i="152"/>
  <c r="DZ58" i="152"/>
  <c r="DY58" i="152"/>
  <c r="DX58" i="152"/>
  <c r="DW58" i="152"/>
  <c r="DV58" i="152"/>
  <c r="DU58" i="152"/>
  <c r="DT58" i="152"/>
  <c r="DS58" i="152"/>
  <c r="DR58" i="152"/>
  <c r="DQ58" i="152"/>
  <c r="DP58" i="152"/>
  <c r="DO58" i="152"/>
  <c r="DN58" i="152"/>
  <c r="DM58" i="152"/>
  <c r="DL58" i="152"/>
  <c r="DK58" i="152"/>
  <c r="DJ58" i="152"/>
  <c r="DI58" i="152"/>
  <c r="DH58" i="152"/>
  <c r="DG58" i="152"/>
  <c r="DF58" i="152"/>
  <c r="DE58" i="152"/>
  <c r="DD58" i="152"/>
  <c r="DC58" i="152"/>
  <c r="DB58" i="152"/>
  <c r="DA58" i="152"/>
  <c r="CZ58" i="152"/>
  <c r="CY58" i="152"/>
  <c r="CX58" i="152"/>
  <c r="CW58" i="152"/>
  <c r="CV58" i="152"/>
  <c r="CU58" i="152"/>
  <c r="CT58" i="152"/>
  <c r="CS58" i="152"/>
  <c r="CR58" i="152"/>
  <c r="CQ58" i="152"/>
  <c r="CP58" i="152"/>
  <c r="CO58" i="152"/>
  <c r="CN58" i="152"/>
  <c r="CM58" i="152"/>
  <c r="CL58" i="152"/>
  <c r="CK58" i="152"/>
  <c r="CJ58" i="152"/>
  <c r="CI58" i="152"/>
  <c r="CH58" i="152"/>
  <c r="CG58" i="152"/>
  <c r="CF58" i="152"/>
  <c r="CE58" i="152"/>
  <c r="CD58" i="152"/>
  <c r="CC58" i="152"/>
  <c r="CB58" i="152"/>
  <c r="CA58" i="152"/>
  <c r="BZ58" i="152"/>
  <c r="BY58" i="152"/>
  <c r="BX58" i="152"/>
  <c r="BW58" i="152"/>
  <c r="BV58" i="152"/>
  <c r="BU58" i="152"/>
  <c r="BT58" i="152"/>
  <c r="BS58" i="152"/>
  <c r="BR58" i="152"/>
  <c r="BQ58" i="152"/>
  <c r="BP58" i="152"/>
  <c r="BO58" i="152"/>
  <c r="BN58" i="152"/>
  <c r="BM58" i="152"/>
  <c r="BL58" i="152"/>
  <c r="BK58" i="152"/>
  <c r="BJ58" i="152"/>
  <c r="BI58" i="152"/>
  <c r="BH58" i="152"/>
  <c r="BG58" i="152"/>
  <c r="BF58" i="152"/>
  <c r="BE58" i="152"/>
  <c r="BD58" i="152"/>
  <c r="BC58" i="152"/>
  <c r="BB58" i="152"/>
  <c r="BA58" i="152"/>
  <c r="AZ58" i="152"/>
  <c r="AY58" i="152"/>
  <c r="AX58" i="152"/>
  <c r="AW58" i="152"/>
  <c r="AV58" i="152"/>
  <c r="AU58" i="152"/>
  <c r="AT58" i="152"/>
  <c r="AS58" i="152"/>
  <c r="AR58" i="152"/>
  <c r="AQ58" i="152"/>
  <c r="AP58" i="152"/>
  <c r="AO58" i="152"/>
  <c r="AN58" i="152"/>
  <c r="HV57" i="152"/>
  <c r="HU57" i="152"/>
  <c r="HT57" i="152"/>
  <c r="HS57" i="152"/>
  <c r="HR57" i="152"/>
  <c r="HQ57" i="152"/>
  <c r="HP57" i="152"/>
  <c r="HO57" i="152"/>
  <c r="HN57" i="152"/>
  <c r="HM57" i="152"/>
  <c r="HL57" i="152"/>
  <c r="HK57" i="152"/>
  <c r="HJ57" i="152"/>
  <c r="HI57" i="152"/>
  <c r="HH57" i="152"/>
  <c r="HG57" i="152"/>
  <c r="HF57" i="152"/>
  <c r="HE57" i="152"/>
  <c r="HD57" i="152"/>
  <c r="HC57" i="152"/>
  <c r="HB57" i="152"/>
  <c r="HA57" i="152"/>
  <c r="GZ57" i="152"/>
  <c r="GY57" i="152"/>
  <c r="GX57" i="152"/>
  <c r="GW57" i="152"/>
  <c r="GV57" i="152"/>
  <c r="GU57" i="152"/>
  <c r="GT57" i="152"/>
  <c r="GS57" i="152"/>
  <c r="GR57" i="152"/>
  <c r="GQ57" i="152"/>
  <c r="GP57" i="152"/>
  <c r="GO57" i="152"/>
  <c r="GN57" i="152"/>
  <c r="GM57" i="152"/>
  <c r="GL57" i="152"/>
  <c r="GK57" i="152"/>
  <c r="GJ57" i="152"/>
  <c r="GI57" i="152"/>
  <c r="GH57" i="152"/>
  <c r="GG57" i="152"/>
  <c r="GF57" i="152"/>
  <c r="GE57" i="152"/>
  <c r="GD57" i="152"/>
  <c r="GC57" i="152"/>
  <c r="GB57" i="152"/>
  <c r="GA57" i="152"/>
  <c r="FZ57" i="152"/>
  <c r="FY57" i="152"/>
  <c r="FX57" i="152"/>
  <c r="FW57" i="152"/>
  <c r="FV57" i="152"/>
  <c r="FU57" i="152"/>
  <c r="FT57" i="152"/>
  <c r="FS57" i="152"/>
  <c r="FR57" i="152"/>
  <c r="FQ57" i="152"/>
  <c r="FP57" i="152"/>
  <c r="FO57" i="152"/>
  <c r="FN57" i="152"/>
  <c r="FM57" i="152"/>
  <c r="FL57" i="152"/>
  <c r="FK57" i="152"/>
  <c r="FJ57" i="152"/>
  <c r="FI57" i="152"/>
  <c r="FH57" i="152"/>
  <c r="FG57" i="152"/>
  <c r="FF57" i="152"/>
  <c r="FE57" i="152"/>
  <c r="FD57" i="152"/>
  <c r="FC57" i="152"/>
  <c r="FB57" i="152"/>
  <c r="FA57" i="152"/>
  <c r="EZ57" i="152"/>
  <c r="EY57" i="152"/>
  <c r="EX57" i="152"/>
  <c r="EW57" i="152"/>
  <c r="EV57" i="152"/>
  <c r="EU57" i="152"/>
  <c r="ET57" i="152"/>
  <c r="ES57" i="152"/>
  <c r="ER57" i="152"/>
  <c r="EQ57" i="152"/>
  <c r="EP57" i="152"/>
  <c r="EO57" i="152"/>
  <c r="EN57" i="152"/>
  <c r="EM57" i="152"/>
  <c r="EL57" i="152"/>
  <c r="EK57" i="152"/>
  <c r="EJ57" i="152"/>
  <c r="EI57" i="152"/>
  <c r="EH57" i="152"/>
  <c r="EG57" i="152"/>
  <c r="EF57" i="152"/>
  <c r="EE57" i="152"/>
  <c r="ED57" i="152"/>
  <c r="EC57" i="152"/>
  <c r="EB57" i="152"/>
  <c r="EA57" i="152"/>
  <c r="DZ57" i="152"/>
  <c r="DY57" i="152"/>
  <c r="DX57" i="152"/>
  <c r="DW57" i="152"/>
  <c r="DV57" i="152"/>
  <c r="DU57" i="152"/>
  <c r="DT57" i="152"/>
  <c r="DS57" i="152"/>
  <c r="DR57" i="152"/>
  <c r="DQ57" i="152"/>
  <c r="DP57" i="152"/>
  <c r="DO57" i="152"/>
  <c r="DN57" i="152"/>
  <c r="DM57" i="152"/>
  <c r="DL57" i="152"/>
  <c r="DK57" i="152"/>
  <c r="DJ57" i="152"/>
  <c r="DI57" i="152"/>
  <c r="DH57" i="152"/>
  <c r="DG57" i="152"/>
  <c r="DF57" i="152"/>
  <c r="DE57" i="152"/>
  <c r="DD57" i="152"/>
  <c r="DC57" i="152"/>
  <c r="DB57" i="152"/>
  <c r="DA57" i="152"/>
  <c r="CZ57" i="152"/>
  <c r="CY57" i="152"/>
  <c r="CX57" i="152"/>
  <c r="CW57" i="152"/>
  <c r="CV57" i="152"/>
  <c r="CU57" i="152"/>
  <c r="CT57" i="152"/>
  <c r="CS57" i="152"/>
  <c r="CR57" i="152"/>
  <c r="CQ57" i="152"/>
  <c r="CP57" i="152"/>
  <c r="CO57" i="152"/>
  <c r="CN57" i="152"/>
  <c r="CM57" i="152"/>
  <c r="CL57" i="152"/>
  <c r="CK57" i="152"/>
  <c r="CJ57" i="152"/>
  <c r="CI57" i="152"/>
  <c r="CH57" i="152"/>
  <c r="CG57" i="152"/>
  <c r="CF57" i="152"/>
  <c r="CE57" i="152"/>
  <c r="CD57" i="152"/>
  <c r="CC57" i="152"/>
  <c r="CB57" i="152"/>
  <c r="CA57" i="152"/>
  <c r="BZ57" i="152"/>
  <c r="BY57" i="152"/>
  <c r="BX57" i="152"/>
  <c r="BW57" i="152"/>
  <c r="BV57" i="152"/>
  <c r="BU57" i="152"/>
  <c r="BT57" i="152"/>
  <c r="BS57" i="152"/>
  <c r="BR57" i="152"/>
  <c r="BQ57" i="152"/>
  <c r="BP57" i="152"/>
  <c r="BO57" i="152"/>
  <c r="BN57" i="152"/>
  <c r="BM57" i="152"/>
  <c r="BL57" i="152"/>
  <c r="BK57" i="152"/>
  <c r="BJ57" i="152"/>
  <c r="BI57" i="152"/>
  <c r="BH57" i="152"/>
  <c r="BG57" i="152"/>
  <c r="BF57" i="152"/>
  <c r="BE57" i="152"/>
  <c r="BD57" i="152"/>
  <c r="BC57" i="152"/>
  <c r="BB57" i="152"/>
  <c r="BA57" i="152"/>
  <c r="AZ57" i="152"/>
  <c r="AY57" i="152"/>
  <c r="AX57" i="152"/>
  <c r="AW57" i="152"/>
  <c r="AV57" i="152"/>
  <c r="AU57" i="152"/>
  <c r="AT57" i="152"/>
  <c r="AS57" i="152"/>
  <c r="AR57" i="152"/>
  <c r="AQ57" i="152"/>
  <c r="AP57" i="152"/>
  <c r="AO57" i="152"/>
  <c r="AN57" i="152"/>
  <c r="HV56" i="152"/>
  <c r="HU56" i="152"/>
  <c r="HT56" i="152"/>
  <c r="HS56" i="152"/>
  <c r="HR56" i="152"/>
  <c r="HQ56" i="152"/>
  <c r="HP56" i="152"/>
  <c r="HO56" i="152"/>
  <c r="HN56" i="152"/>
  <c r="HM56" i="152"/>
  <c r="HL56" i="152"/>
  <c r="HK56" i="152"/>
  <c r="HJ56" i="152"/>
  <c r="HI56" i="152"/>
  <c r="HH56" i="152"/>
  <c r="HG56" i="152"/>
  <c r="HF56" i="152"/>
  <c r="HE56" i="152"/>
  <c r="HD56" i="152"/>
  <c r="HC56" i="152"/>
  <c r="HB56" i="152"/>
  <c r="HA56" i="152"/>
  <c r="GZ56" i="152"/>
  <c r="GY56" i="152"/>
  <c r="GX56" i="152"/>
  <c r="GW56" i="152"/>
  <c r="GV56" i="152"/>
  <c r="GU56" i="152"/>
  <c r="GT56" i="152"/>
  <c r="GS56" i="152"/>
  <c r="GR56" i="152"/>
  <c r="GQ56" i="152"/>
  <c r="GP56" i="152"/>
  <c r="GO56" i="152"/>
  <c r="GN56" i="152"/>
  <c r="GM56" i="152"/>
  <c r="GL56" i="152"/>
  <c r="GK56" i="152"/>
  <c r="GJ56" i="152"/>
  <c r="GI56" i="152"/>
  <c r="GH56" i="152"/>
  <c r="GG56" i="152"/>
  <c r="GF56" i="152"/>
  <c r="GE56" i="152"/>
  <c r="GD56" i="152"/>
  <c r="GC56" i="152"/>
  <c r="GB56" i="152"/>
  <c r="GA56" i="152"/>
  <c r="FZ56" i="152"/>
  <c r="FY56" i="152"/>
  <c r="FX56" i="152"/>
  <c r="FW56" i="152"/>
  <c r="FV56" i="152"/>
  <c r="FU56" i="152"/>
  <c r="FT56" i="152"/>
  <c r="FS56" i="152"/>
  <c r="FR56" i="152"/>
  <c r="FQ56" i="152"/>
  <c r="FP56" i="152"/>
  <c r="FO56" i="152"/>
  <c r="FN56" i="152"/>
  <c r="FM56" i="152"/>
  <c r="FL56" i="152"/>
  <c r="FK56" i="152"/>
  <c r="FJ56" i="152"/>
  <c r="FI56" i="152"/>
  <c r="FH56" i="152"/>
  <c r="FG56" i="152"/>
  <c r="FF56" i="152"/>
  <c r="FE56" i="152"/>
  <c r="FD56" i="152"/>
  <c r="FC56" i="152"/>
  <c r="FB56" i="152"/>
  <c r="FA56" i="152"/>
  <c r="EZ56" i="152"/>
  <c r="EY56" i="152"/>
  <c r="EX56" i="152"/>
  <c r="EW56" i="152"/>
  <c r="EV56" i="152"/>
  <c r="EU56" i="152"/>
  <c r="ET56" i="152"/>
  <c r="ES56" i="152"/>
  <c r="ER56" i="152"/>
  <c r="EQ56" i="152"/>
  <c r="EP56" i="152"/>
  <c r="EO56" i="152"/>
  <c r="EN56" i="152"/>
  <c r="EM56" i="152"/>
  <c r="EL56" i="152"/>
  <c r="EK56" i="152"/>
  <c r="EJ56" i="152"/>
  <c r="EI56" i="152"/>
  <c r="EH56" i="152"/>
  <c r="EG56" i="152"/>
  <c r="EF56" i="152"/>
  <c r="EE56" i="152"/>
  <c r="ED56" i="152"/>
  <c r="EC56" i="152"/>
  <c r="EB56" i="152"/>
  <c r="EA56" i="152"/>
  <c r="DZ56" i="152"/>
  <c r="DY56" i="152"/>
  <c r="DX56" i="152"/>
  <c r="DW56" i="152"/>
  <c r="DV56" i="152"/>
  <c r="DU56" i="152"/>
  <c r="DT56" i="152"/>
  <c r="DS56" i="152"/>
  <c r="DR56" i="152"/>
  <c r="DQ56" i="152"/>
  <c r="DP56" i="152"/>
  <c r="DO56" i="152"/>
  <c r="DN56" i="152"/>
  <c r="DM56" i="152"/>
  <c r="DL56" i="152"/>
  <c r="DK56" i="152"/>
  <c r="DJ56" i="152"/>
  <c r="DI56" i="152"/>
  <c r="DH56" i="152"/>
  <c r="DG56" i="152"/>
  <c r="DF56" i="152"/>
  <c r="DE56" i="152"/>
  <c r="DD56" i="152"/>
  <c r="DC56" i="152"/>
  <c r="DB56" i="152"/>
  <c r="DA56" i="152"/>
  <c r="CZ56" i="152"/>
  <c r="CY56" i="152"/>
  <c r="CX56" i="152"/>
  <c r="CW56" i="152"/>
  <c r="CV56" i="152"/>
  <c r="CU56" i="152"/>
  <c r="CT56" i="152"/>
  <c r="CS56" i="152"/>
  <c r="CR56" i="152"/>
  <c r="CQ56" i="152"/>
  <c r="CP56" i="152"/>
  <c r="CO56" i="152"/>
  <c r="CN56" i="152"/>
  <c r="CM56" i="152"/>
  <c r="CL56" i="152"/>
  <c r="CK56" i="152"/>
  <c r="CJ56" i="152"/>
  <c r="CI56" i="152"/>
  <c r="CH56" i="152"/>
  <c r="CG56" i="152"/>
  <c r="CF56" i="152"/>
  <c r="CE56" i="152"/>
  <c r="CD56" i="152"/>
  <c r="CC56" i="152"/>
  <c r="CB56" i="152"/>
  <c r="CA56" i="152"/>
  <c r="BZ56" i="152"/>
  <c r="BY56" i="152"/>
  <c r="BX56" i="152"/>
  <c r="BW56" i="152"/>
  <c r="BV56" i="152"/>
  <c r="BU56" i="152"/>
  <c r="BT56" i="152"/>
  <c r="BS56" i="152"/>
  <c r="BR56" i="152"/>
  <c r="BQ56" i="152"/>
  <c r="BP56" i="152"/>
  <c r="BO56" i="152"/>
  <c r="BN56" i="152"/>
  <c r="BM56" i="152"/>
  <c r="BL56" i="152"/>
  <c r="BK56" i="152"/>
  <c r="BJ56" i="152"/>
  <c r="BI56" i="152"/>
  <c r="BH56" i="152"/>
  <c r="BG56" i="152"/>
  <c r="BF56" i="152"/>
  <c r="BE56" i="152"/>
  <c r="BD56" i="152"/>
  <c r="BC56" i="152"/>
  <c r="BB56" i="152"/>
  <c r="BA56" i="152"/>
  <c r="AZ56" i="152"/>
  <c r="AY56" i="152"/>
  <c r="AX56" i="152"/>
  <c r="AW56" i="152"/>
  <c r="AV56" i="152"/>
  <c r="AU56" i="152"/>
  <c r="AT56" i="152"/>
  <c r="AS56" i="152"/>
  <c r="AR56" i="152"/>
  <c r="AQ56" i="152"/>
  <c r="AP56" i="152"/>
  <c r="AO56" i="152"/>
  <c r="AN56" i="152"/>
  <c r="HV55" i="152"/>
  <c r="HU55" i="152"/>
  <c r="HT55" i="152"/>
  <c r="HS55" i="152"/>
  <c r="HR55" i="152"/>
  <c r="HQ55" i="152"/>
  <c r="HP55" i="152"/>
  <c r="HO55" i="152"/>
  <c r="HN55" i="152"/>
  <c r="HM55" i="152"/>
  <c r="HL55" i="152"/>
  <c r="HK55" i="152"/>
  <c r="HJ55" i="152"/>
  <c r="HI55" i="152"/>
  <c r="HH55" i="152"/>
  <c r="HG55" i="152"/>
  <c r="HF55" i="152"/>
  <c r="HE55" i="152"/>
  <c r="HD55" i="152"/>
  <c r="HC55" i="152"/>
  <c r="HB55" i="152"/>
  <c r="HA55" i="152"/>
  <c r="GZ55" i="152"/>
  <c r="GY55" i="152"/>
  <c r="GX55" i="152"/>
  <c r="GW55" i="152"/>
  <c r="GV55" i="152"/>
  <c r="GU55" i="152"/>
  <c r="GT55" i="152"/>
  <c r="GS55" i="152"/>
  <c r="GR55" i="152"/>
  <c r="GQ55" i="152"/>
  <c r="GP55" i="152"/>
  <c r="GO55" i="152"/>
  <c r="GN55" i="152"/>
  <c r="GM55" i="152"/>
  <c r="GL55" i="152"/>
  <c r="GK55" i="152"/>
  <c r="GJ55" i="152"/>
  <c r="GI55" i="152"/>
  <c r="GH55" i="152"/>
  <c r="GG55" i="152"/>
  <c r="GF55" i="152"/>
  <c r="GE55" i="152"/>
  <c r="GD55" i="152"/>
  <c r="GC55" i="152"/>
  <c r="GB55" i="152"/>
  <c r="GA55" i="152"/>
  <c r="FZ55" i="152"/>
  <c r="FY55" i="152"/>
  <c r="FX55" i="152"/>
  <c r="FW55" i="152"/>
  <c r="FV55" i="152"/>
  <c r="FU55" i="152"/>
  <c r="FT55" i="152"/>
  <c r="FS55" i="152"/>
  <c r="FR55" i="152"/>
  <c r="FQ55" i="152"/>
  <c r="FP55" i="152"/>
  <c r="FO55" i="152"/>
  <c r="FN55" i="152"/>
  <c r="FM55" i="152"/>
  <c r="FL55" i="152"/>
  <c r="FK55" i="152"/>
  <c r="FJ55" i="152"/>
  <c r="FI55" i="152"/>
  <c r="FH55" i="152"/>
  <c r="FG55" i="152"/>
  <c r="FF55" i="152"/>
  <c r="FE55" i="152"/>
  <c r="FD55" i="152"/>
  <c r="FC55" i="152"/>
  <c r="FB55" i="152"/>
  <c r="FA55" i="152"/>
  <c r="EZ55" i="152"/>
  <c r="EY55" i="152"/>
  <c r="EX55" i="152"/>
  <c r="EW55" i="152"/>
  <c r="EV55" i="152"/>
  <c r="EU55" i="152"/>
  <c r="ET55" i="152"/>
  <c r="ES55" i="152"/>
  <c r="ER55" i="152"/>
  <c r="EQ55" i="152"/>
  <c r="EP55" i="152"/>
  <c r="EO55" i="152"/>
  <c r="EN55" i="152"/>
  <c r="EM55" i="152"/>
  <c r="EL55" i="152"/>
  <c r="EK55" i="152"/>
  <c r="EJ55" i="152"/>
  <c r="EI55" i="152"/>
  <c r="EH55" i="152"/>
  <c r="EG55" i="152"/>
  <c r="EF55" i="152"/>
  <c r="EE55" i="152"/>
  <c r="ED55" i="152"/>
  <c r="EC55" i="152"/>
  <c r="EB55" i="152"/>
  <c r="EA55" i="152"/>
  <c r="DZ55" i="152"/>
  <c r="DY55" i="152"/>
  <c r="DX55" i="152"/>
  <c r="DW55" i="152"/>
  <c r="DV55" i="152"/>
  <c r="DU55" i="152"/>
  <c r="DT55" i="152"/>
  <c r="DS55" i="152"/>
  <c r="DR55" i="152"/>
  <c r="DQ55" i="152"/>
  <c r="DP55" i="152"/>
  <c r="DO55" i="152"/>
  <c r="DN55" i="152"/>
  <c r="DM55" i="152"/>
  <c r="DL55" i="152"/>
  <c r="DK55" i="152"/>
  <c r="DJ55" i="152"/>
  <c r="DI55" i="152"/>
  <c r="DH55" i="152"/>
  <c r="DG55" i="152"/>
  <c r="DF55" i="152"/>
  <c r="DE55" i="152"/>
  <c r="DD55" i="152"/>
  <c r="DC55" i="152"/>
  <c r="DB55" i="152"/>
  <c r="DA55" i="152"/>
  <c r="CZ55" i="152"/>
  <c r="CY55" i="152"/>
  <c r="CX55" i="152"/>
  <c r="CW55" i="152"/>
  <c r="CV55" i="152"/>
  <c r="CU55" i="152"/>
  <c r="CT55" i="152"/>
  <c r="CS55" i="152"/>
  <c r="CR55" i="152"/>
  <c r="CQ55" i="152"/>
  <c r="CP55" i="152"/>
  <c r="CO55" i="152"/>
  <c r="CN55" i="152"/>
  <c r="CM55" i="152"/>
  <c r="CL55" i="152"/>
  <c r="CK55" i="152"/>
  <c r="CJ55" i="152"/>
  <c r="CI55" i="152"/>
  <c r="CH55" i="152"/>
  <c r="CG55" i="152"/>
  <c r="CF55" i="152"/>
  <c r="CE55" i="152"/>
  <c r="CD55" i="152"/>
  <c r="CC55" i="152"/>
  <c r="CB55" i="152"/>
  <c r="CA55" i="152"/>
  <c r="BZ55" i="152"/>
  <c r="BY55" i="152"/>
  <c r="BX55" i="152"/>
  <c r="BW55" i="152"/>
  <c r="BV55" i="152"/>
  <c r="BU55" i="152"/>
  <c r="BT55" i="152"/>
  <c r="BS55" i="152"/>
  <c r="BR55" i="152"/>
  <c r="BQ55" i="152"/>
  <c r="BP55" i="152"/>
  <c r="BO55" i="152"/>
  <c r="BN55" i="152"/>
  <c r="BM55" i="152"/>
  <c r="BL55" i="152"/>
  <c r="BK55" i="152"/>
  <c r="BJ55" i="152"/>
  <c r="BI55" i="152"/>
  <c r="BH55" i="152"/>
  <c r="BG55" i="152"/>
  <c r="BF55" i="152"/>
  <c r="BE55" i="152"/>
  <c r="BD55" i="152"/>
  <c r="BC55" i="152"/>
  <c r="BB55" i="152"/>
  <c r="BA55" i="152"/>
  <c r="AZ55" i="152"/>
  <c r="AY55" i="152"/>
  <c r="AX55" i="152"/>
  <c r="AW55" i="152"/>
  <c r="AV55" i="152"/>
  <c r="AU55" i="152"/>
  <c r="AT55" i="152"/>
  <c r="AS55" i="152"/>
  <c r="AR55" i="152"/>
  <c r="AQ55" i="152"/>
  <c r="AP55" i="152"/>
  <c r="AO55" i="152"/>
  <c r="AN55" i="152"/>
  <c r="HV54" i="152"/>
  <c r="HU54" i="152"/>
  <c r="HT54" i="152"/>
  <c r="HS54" i="152"/>
  <c r="HR54" i="152"/>
  <c r="HQ54" i="152"/>
  <c r="HP54" i="152"/>
  <c r="HO54" i="152"/>
  <c r="HN54" i="152"/>
  <c r="HM54" i="152"/>
  <c r="HL54" i="152"/>
  <c r="HK54" i="152"/>
  <c r="HJ54" i="152"/>
  <c r="HI54" i="152"/>
  <c r="HH54" i="152"/>
  <c r="HG54" i="152"/>
  <c r="HF54" i="152"/>
  <c r="HE54" i="152"/>
  <c r="HD54" i="152"/>
  <c r="HC54" i="152"/>
  <c r="HB54" i="152"/>
  <c r="HA54" i="152"/>
  <c r="GZ54" i="152"/>
  <c r="GY54" i="152"/>
  <c r="GX54" i="152"/>
  <c r="GW54" i="152"/>
  <c r="GV54" i="152"/>
  <c r="GU54" i="152"/>
  <c r="GT54" i="152"/>
  <c r="GS54" i="152"/>
  <c r="GR54" i="152"/>
  <c r="GQ54" i="152"/>
  <c r="GP54" i="152"/>
  <c r="GO54" i="152"/>
  <c r="GN54" i="152"/>
  <c r="GM54" i="152"/>
  <c r="GL54" i="152"/>
  <c r="GK54" i="152"/>
  <c r="GJ54" i="152"/>
  <c r="GI54" i="152"/>
  <c r="GH54" i="152"/>
  <c r="GG54" i="152"/>
  <c r="GF54" i="152"/>
  <c r="GE54" i="152"/>
  <c r="GD54" i="152"/>
  <c r="GC54" i="152"/>
  <c r="GB54" i="152"/>
  <c r="GA54" i="152"/>
  <c r="FZ54" i="152"/>
  <c r="FY54" i="152"/>
  <c r="FX54" i="152"/>
  <c r="FW54" i="152"/>
  <c r="FV54" i="152"/>
  <c r="FU54" i="152"/>
  <c r="FT54" i="152"/>
  <c r="FS54" i="152"/>
  <c r="FR54" i="152"/>
  <c r="FQ54" i="152"/>
  <c r="FP54" i="152"/>
  <c r="FO54" i="152"/>
  <c r="FN54" i="152"/>
  <c r="FM54" i="152"/>
  <c r="FL54" i="152"/>
  <c r="FK54" i="152"/>
  <c r="FJ54" i="152"/>
  <c r="FI54" i="152"/>
  <c r="FH54" i="152"/>
  <c r="FG54" i="152"/>
  <c r="FF54" i="152"/>
  <c r="FE54" i="152"/>
  <c r="FD54" i="152"/>
  <c r="FC54" i="152"/>
  <c r="FB54" i="152"/>
  <c r="FA54" i="152"/>
  <c r="EZ54" i="152"/>
  <c r="EY54" i="152"/>
  <c r="EX54" i="152"/>
  <c r="EW54" i="152"/>
  <c r="EV54" i="152"/>
  <c r="EU54" i="152"/>
  <c r="ET54" i="152"/>
  <c r="ES54" i="152"/>
  <c r="ER54" i="152"/>
  <c r="EQ54" i="152"/>
  <c r="EP54" i="152"/>
  <c r="EO54" i="152"/>
  <c r="EN54" i="152"/>
  <c r="EM54" i="152"/>
  <c r="EL54" i="152"/>
  <c r="EK54" i="152"/>
  <c r="EJ54" i="152"/>
  <c r="EI54" i="152"/>
  <c r="EH54" i="152"/>
  <c r="EG54" i="152"/>
  <c r="EF54" i="152"/>
  <c r="EE54" i="152"/>
  <c r="ED54" i="152"/>
  <c r="EC54" i="152"/>
  <c r="EB54" i="152"/>
  <c r="EA54" i="152"/>
  <c r="DZ54" i="152"/>
  <c r="DY54" i="152"/>
  <c r="DX54" i="152"/>
  <c r="DW54" i="152"/>
  <c r="DV54" i="152"/>
  <c r="DU54" i="152"/>
  <c r="DT54" i="152"/>
  <c r="DS54" i="152"/>
  <c r="DR54" i="152"/>
  <c r="DQ54" i="152"/>
  <c r="DP54" i="152"/>
  <c r="DO54" i="152"/>
  <c r="DN54" i="152"/>
  <c r="DM54" i="152"/>
  <c r="DL54" i="152"/>
  <c r="DK54" i="152"/>
  <c r="DJ54" i="152"/>
  <c r="DI54" i="152"/>
  <c r="DH54" i="152"/>
  <c r="DG54" i="152"/>
  <c r="DF54" i="152"/>
  <c r="DE54" i="152"/>
  <c r="DD54" i="152"/>
  <c r="DC54" i="152"/>
  <c r="DB54" i="152"/>
  <c r="DA54" i="152"/>
  <c r="CZ54" i="152"/>
  <c r="CY54" i="152"/>
  <c r="CX54" i="152"/>
  <c r="CW54" i="152"/>
  <c r="CV54" i="152"/>
  <c r="CU54" i="152"/>
  <c r="CT54" i="152"/>
  <c r="CS54" i="152"/>
  <c r="CR54" i="152"/>
  <c r="CQ54" i="152"/>
  <c r="CP54" i="152"/>
  <c r="CO54" i="152"/>
  <c r="CN54" i="152"/>
  <c r="CM54" i="152"/>
  <c r="CL54" i="152"/>
  <c r="CK54" i="152"/>
  <c r="CJ54" i="152"/>
  <c r="CI54" i="152"/>
  <c r="CH54" i="152"/>
  <c r="CG54" i="152"/>
  <c r="CF54" i="152"/>
  <c r="CE54" i="152"/>
  <c r="CD54" i="152"/>
  <c r="CC54" i="152"/>
  <c r="CB54" i="152"/>
  <c r="CA54" i="152"/>
  <c r="BZ54" i="152"/>
  <c r="BY54" i="152"/>
  <c r="BX54" i="152"/>
  <c r="BW54" i="152"/>
  <c r="BV54" i="152"/>
  <c r="BU54" i="152"/>
  <c r="BT54" i="152"/>
  <c r="BS54" i="152"/>
  <c r="BR54" i="152"/>
  <c r="BQ54" i="152"/>
  <c r="BP54" i="152"/>
  <c r="BO54" i="152"/>
  <c r="BN54" i="152"/>
  <c r="BM54" i="152"/>
  <c r="BL54" i="152"/>
  <c r="BK54" i="152"/>
  <c r="BJ54" i="152"/>
  <c r="BI54" i="152"/>
  <c r="BH54" i="152"/>
  <c r="BG54" i="152"/>
  <c r="BF54" i="152"/>
  <c r="BE54" i="152"/>
  <c r="BD54" i="152"/>
  <c r="BC54" i="152"/>
  <c r="BB54" i="152"/>
  <c r="BA54" i="152"/>
  <c r="AZ54" i="152"/>
  <c r="AY54" i="152"/>
  <c r="AX54" i="152"/>
  <c r="AW54" i="152"/>
  <c r="AV54" i="152"/>
  <c r="AU54" i="152"/>
  <c r="AT54" i="152"/>
  <c r="AS54" i="152"/>
  <c r="AR54" i="152"/>
  <c r="AQ54" i="152"/>
  <c r="AP54" i="152"/>
  <c r="AO54" i="152"/>
  <c r="AN54" i="152"/>
  <c r="HV59" i="151"/>
  <c r="HU59" i="151"/>
  <c r="HT59" i="151"/>
  <c r="HS59" i="151"/>
  <c r="HR59" i="151"/>
  <c r="HQ59" i="151"/>
  <c r="HP59" i="151"/>
  <c r="HO59" i="151"/>
  <c r="HN59" i="151"/>
  <c r="HM59" i="151"/>
  <c r="HL59" i="151"/>
  <c r="HK59" i="151"/>
  <c r="HJ59" i="151"/>
  <c r="HI59" i="151"/>
  <c r="HH59" i="151"/>
  <c r="HG59" i="151"/>
  <c r="HF59" i="151"/>
  <c r="HE59" i="151"/>
  <c r="HD59" i="151"/>
  <c r="HC59" i="151"/>
  <c r="HB59" i="151"/>
  <c r="HA59" i="151"/>
  <c r="GZ59" i="151"/>
  <c r="GY59" i="151"/>
  <c r="GX59" i="151"/>
  <c r="GW59" i="151"/>
  <c r="GV59" i="151"/>
  <c r="GU59" i="151"/>
  <c r="GT59" i="151"/>
  <c r="GS59" i="151"/>
  <c r="GR59" i="151"/>
  <c r="GQ59" i="151"/>
  <c r="GP59" i="151"/>
  <c r="GO59" i="151"/>
  <c r="GN59" i="151"/>
  <c r="GM59" i="151"/>
  <c r="GL59" i="151"/>
  <c r="GK59" i="151"/>
  <c r="GJ59" i="151"/>
  <c r="GI59" i="151"/>
  <c r="GH59" i="151"/>
  <c r="GG59" i="151"/>
  <c r="GF59" i="151"/>
  <c r="GE59" i="151"/>
  <c r="GD59" i="151"/>
  <c r="GC59" i="151"/>
  <c r="GB59" i="151"/>
  <c r="GA59" i="151"/>
  <c r="FZ59" i="151"/>
  <c r="FY59" i="151"/>
  <c r="FX59" i="151"/>
  <c r="FW59" i="151"/>
  <c r="FV59" i="151"/>
  <c r="FU59" i="151"/>
  <c r="FT59" i="151"/>
  <c r="FS59" i="151"/>
  <c r="FR59" i="151"/>
  <c r="FQ59" i="151"/>
  <c r="FP59" i="151"/>
  <c r="FO59" i="151"/>
  <c r="FN59" i="151"/>
  <c r="FM59" i="151"/>
  <c r="FL59" i="151"/>
  <c r="FK59" i="151"/>
  <c r="FJ59" i="151"/>
  <c r="FI59" i="151"/>
  <c r="FH59" i="151"/>
  <c r="FG59" i="151"/>
  <c r="FF59" i="151"/>
  <c r="FE59" i="151"/>
  <c r="FD59" i="151"/>
  <c r="FC59" i="151"/>
  <c r="FB59" i="151"/>
  <c r="FA59" i="151"/>
  <c r="EZ59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HV58" i="151"/>
  <c r="HU58" i="151"/>
  <c r="HT58" i="151"/>
  <c r="HS58" i="151"/>
  <c r="HR58" i="151"/>
  <c r="HQ58" i="151"/>
  <c r="HP58" i="151"/>
  <c r="HO58" i="151"/>
  <c r="HN58" i="151"/>
  <c r="HM58" i="151"/>
  <c r="HL58" i="151"/>
  <c r="HK58" i="151"/>
  <c r="HJ58" i="151"/>
  <c r="HI58" i="151"/>
  <c r="HH58" i="151"/>
  <c r="HG58" i="151"/>
  <c r="HF58" i="151"/>
  <c r="HE58" i="151"/>
  <c r="HD58" i="151"/>
  <c r="HC58" i="151"/>
  <c r="HB58" i="151"/>
  <c r="HA58" i="151"/>
  <c r="GZ58" i="151"/>
  <c r="GY58" i="151"/>
  <c r="GX58" i="151"/>
  <c r="GW58" i="151"/>
  <c r="GV58" i="151"/>
  <c r="GU58" i="151"/>
  <c r="GT58" i="151"/>
  <c r="GS58" i="151"/>
  <c r="GR58" i="151"/>
  <c r="GQ58" i="151"/>
  <c r="GP58" i="151"/>
  <c r="GO58" i="151"/>
  <c r="GN58" i="151"/>
  <c r="GM58" i="151"/>
  <c r="GL58" i="151"/>
  <c r="GK58" i="151"/>
  <c r="GJ58" i="151"/>
  <c r="GI58" i="151"/>
  <c r="GH58" i="151"/>
  <c r="GG58" i="151"/>
  <c r="GF58" i="151"/>
  <c r="GE58" i="151"/>
  <c r="GD58" i="151"/>
  <c r="GC58" i="151"/>
  <c r="GB58" i="151"/>
  <c r="GA58" i="151"/>
  <c r="FZ58" i="151"/>
  <c r="FY58" i="151"/>
  <c r="FX58" i="151"/>
  <c r="FW58" i="151"/>
  <c r="FV58" i="151"/>
  <c r="FU58" i="151"/>
  <c r="FT58" i="151"/>
  <c r="FS58" i="151"/>
  <c r="FR58" i="151"/>
  <c r="FQ58" i="151"/>
  <c r="FP58" i="151"/>
  <c r="FO58" i="151"/>
  <c r="FN58" i="151"/>
  <c r="FM58" i="151"/>
  <c r="FL58" i="151"/>
  <c r="FK58" i="151"/>
  <c r="FJ58" i="151"/>
  <c r="FI58" i="151"/>
  <c r="FH58" i="151"/>
  <c r="FG58" i="151"/>
  <c r="FF58" i="151"/>
  <c r="FE58" i="151"/>
  <c r="FD58" i="151"/>
  <c r="FC58" i="151"/>
  <c r="FB58" i="151"/>
  <c r="FA58" i="151"/>
  <c r="EZ58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HV57" i="151"/>
  <c r="HU57" i="151"/>
  <c r="HT57" i="151"/>
  <c r="HS57" i="151"/>
  <c r="HR57" i="151"/>
  <c r="HQ57" i="151"/>
  <c r="HP57" i="151"/>
  <c r="HO57" i="151"/>
  <c r="HN57" i="151"/>
  <c r="HM57" i="151"/>
  <c r="HL57" i="151"/>
  <c r="HK57" i="151"/>
  <c r="HJ57" i="151"/>
  <c r="HI57" i="151"/>
  <c r="HH57" i="151"/>
  <c r="HG57" i="151"/>
  <c r="HF57" i="151"/>
  <c r="HE57" i="151"/>
  <c r="HD57" i="151"/>
  <c r="HC57" i="151"/>
  <c r="HB57" i="151"/>
  <c r="HA57" i="151"/>
  <c r="GZ57" i="151"/>
  <c r="GY57" i="151"/>
  <c r="GX57" i="151"/>
  <c r="GW57" i="151"/>
  <c r="GV57" i="151"/>
  <c r="GU57" i="151"/>
  <c r="GT57" i="151"/>
  <c r="GS57" i="151"/>
  <c r="GR57" i="151"/>
  <c r="GQ57" i="151"/>
  <c r="GP57" i="151"/>
  <c r="GO57" i="151"/>
  <c r="GN57" i="151"/>
  <c r="GM57" i="151"/>
  <c r="GL57" i="151"/>
  <c r="GK57" i="151"/>
  <c r="GJ57" i="151"/>
  <c r="GI57" i="151"/>
  <c r="GH57" i="151"/>
  <c r="GG57" i="151"/>
  <c r="GF57" i="151"/>
  <c r="GE57" i="151"/>
  <c r="GD57" i="151"/>
  <c r="GC57" i="151"/>
  <c r="GB57" i="151"/>
  <c r="GA57" i="151"/>
  <c r="FZ57" i="151"/>
  <c r="FY57" i="151"/>
  <c r="FX57" i="151"/>
  <c r="FW57" i="151"/>
  <c r="FV57" i="151"/>
  <c r="FU57" i="151"/>
  <c r="FT57" i="151"/>
  <c r="FS57" i="151"/>
  <c r="FR57" i="151"/>
  <c r="FQ57" i="151"/>
  <c r="FP57" i="151"/>
  <c r="FO57" i="151"/>
  <c r="FN57" i="151"/>
  <c r="FM57" i="151"/>
  <c r="FL57" i="151"/>
  <c r="FK57" i="151"/>
  <c r="FJ57" i="151"/>
  <c r="FI57" i="151"/>
  <c r="FH57" i="151"/>
  <c r="FG57" i="151"/>
  <c r="FF57" i="151"/>
  <c r="FE57" i="151"/>
  <c r="FD57" i="151"/>
  <c r="FC57" i="151"/>
  <c r="FB57" i="151"/>
  <c r="FA57" i="151"/>
  <c r="EZ57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HV56" i="151"/>
  <c r="HU56" i="151"/>
  <c r="HT56" i="151"/>
  <c r="HS56" i="151"/>
  <c r="HR56" i="151"/>
  <c r="HQ56" i="151"/>
  <c r="HP56" i="151"/>
  <c r="HO56" i="151"/>
  <c r="HN56" i="151"/>
  <c r="HM56" i="151"/>
  <c r="HL56" i="151"/>
  <c r="HK56" i="151"/>
  <c r="HJ56" i="151"/>
  <c r="HI56" i="151"/>
  <c r="HH56" i="151"/>
  <c r="HG56" i="151"/>
  <c r="HF56" i="151"/>
  <c r="HE56" i="151"/>
  <c r="HD56" i="151"/>
  <c r="HC56" i="151"/>
  <c r="HB56" i="151"/>
  <c r="HA56" i="151"/>
  <c r="GZ56" i="151"/>
  <c r="GY56" i="151"/>
  <c r="GX56" i="151"/>
  <c r="GW56" i="151"/>
  <c r="GV56" i="151"/>
  <c r="GU56" i="151"/>
  <c r="GT56" i="151"/>
  <c r="GS56" i="151"/>
  <c r="GR56" i="151"/>
  <c r="GQ56" i="151"/>
  <c r="GP56" i="151"/>
  <c r="GO56" i="151"/>
  <c r="GN56" i="151"/>
  <c r="GM56" i="151"/>
  <c r="GL56" i="151"/>
  <c r="GK56" i="151"/>
  <c r="GJ56" i="151"/>
  <c r="GI56" i="151"/>
  <c r="GH56" i="151"/>
  <c r="GG56" i="151"/>
  <c r="GF56" i="151"/>
  <c r="GE56" i="151"/>
  <c r="GD56" i="151"/>
  <c r="GC56" i="151"/>
  <c r="GB56" i="151"/>
  <c r="GA56" i="151"/>
  <c r="FZ56" i="151"/>
  <c r="FY56" i="151"/>
  <c r="FX56" i="151"/>
  <c r="FW56" i="151"/>
  <c r="FV56" i="151"/>
  <c r="FU56" i="151"/>
  <c r="FT56" i="151"/>
  <c r="FS56" i="151"/>
  <c r="FR56" i="151"/>
  <c r="FQ56" i="151"/>
  <c r="FP56" i="151"/>
  <c r="FO56" i="151"/>
  <c r="FN56" i="151"/>
  <c r="FM56" i="151"/>
  <c r="FL56" i="151"/>
  <c r="FK56" i="151"/>
  <c r="FJ56" i="151"/>
  <c r="FI56" i="151"/>
  <c r="FH56" i="151"/>
  <c r="FG56" i="151"/>
  <c r="FF56" i="151"/>
  <c r="FE56" i="151"/>
  <c r="FD56" i="151"/>
  <c r="FC56" i="151"/>
  <c r="FB56" i="151"/>
  <c r="FA56" i="151"/>
  <c r="EZ56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HV55" i="151"/>
  <c r="HU55" i="151"/>
  <c r="HT55" i="151"/>
  <c r="HS55" i="151"/>
  <c r="HR55" i="151"/>
  <c r="HQ55" i="151"/>
  <c r="HP55" i="151"/>
  <c r="HO55" i="151"/>
  <c r="HN55" i="151"/>
  <c r="HM55" i="151"/>
  <c r="HL55" i="151"/>
  <c r="HK55" i="151"/>
  <c r="HJ55" i="151"/>
  <c r="HI55" i="151"/>
  <c r="HH55" i="151"/>
  <c r="HG55" i="151"/>
  <c r="HF55" i="151"/>
  <c r="HE55" i="151"/>
  <c r="HD55" i="151"/>
  <c r="HC55" i="151"/>
  <c r="HB55" i="151"/>
  <c r="HA55" i="151"/>
  <c r="GZ55" i="151"/>
  <c r="GY55" i="151"/>
  <c r="GX55" i="151"/>
  <c r="GW55" i="151"/>
  <c r="GV55" i="151"/>
  <c r="GU55" i="151"/>
  <c r="GT55" i="151"/>
  <c r="GS55" i="151"/>
  <c r="GR55" i="151"/>
  <c r="GQ55" i="151"/>
  <c r="GP55" i="151"/>
  <c r="GO55" i="151"/>
  <c r="GN55" i="151"/>
  <c r="GM55" i="151"/>
  <c r="GL55" i="151"/>
  <c r="GK55" i="151"/>
  <c r="GJ55" i="151"/>
  <c r="GI55" i="151"/>
  <c r="GH55" i="151"/>
  <c r="GG55" i="151"/>
  <c r="GF55" i="151"/>
  <c r="GE55" i="151"/>
  <c r="GD55" i="151"/>
  <c r="GC55" i="151"/>
  <c r="GB55" i="151"/>
  <c r="GA55" i="151"/>
  <c r="FZ55" i="151"/>
  <c r="FY55" i="151"/>
  <c r="FX55" i="151"/>
  <c r="FW55" i="151"/>
  <c r="FV55" i="151"/>
  <c r="FU55" i="151"/>
  <c r="FT55" i="151"/>
  <c r="FS55" i="151"/>
  <c r="FR55" i="151"/>
  <c r="FQ55" i="151"/>
  <c r="FP55" i="151"/>
  <c r="FO55" i="151"/>
  <c r="FN55" i="151"/>
  <c r="FM55" i="151"/>
  <c r="FL55" i="151"/>
  <c r="FK55" i="151"/>
  <c r="FJ55" i="151"/>
  <c r="FI55" i="151"/>
  <c r="FH55" i="151"/>
  <c r="FG55" i="151"/>
  <c r="FF55" i="151"/>
  <c r="FE55" i="151"/>
  <c r="FD55" i="151"/>
  <c r="FC55" i="151"/>
  <c r="FB55" i="151"/>
  <c r="FA55" i="151"/>
  <c r="EZ55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HV54" i="151"/>
  <c r="HU54" i="151"/>
  <c r="HT54" i="151"/>
  <c r="HS54" i="151"/>
  <c r="HR54" i="151"/>
  <c r="HQ54" i="151"/>
  <c r="HP54" i="151"/>
  <c r="HO54" i="151"/>
  <c r="HN54" i="151"/>
  <c r="HM54" i="151"/>
  <c r="HL54" i="151"/>
  <c r="HK54" i="151"/>
  <c r="HJ54" i="151"/>
  <c r="HI54" i="151"/>
  <c r="HH54" i="151"/>
  <c r="HG54" i="151"/>
  <c r="HF54" i="151"/>
  <c r="HE54" i="151"/>
  <c r="HD54" i="151"/>
  <c r="HC54" i="151"/>
  <c r="HB54" i="151"/>
  <c r="HA54" i="151"/>
  <c r="GZ54" i="151"/>
  <c r="GY54" i="151"/>
  <c r="GX54" i="151"/>
  <c r="GW54" i="151"/>
  <c r="GV54" i="151"/>
  <c r="GU54" i="151"/>
  <c r="GT54" i="151"/>
  <c r="GS54" i="151"/>
  <c r="GR54" i="151"/>
  <c r="GQ54" i="151"/>
  <c r="GP54" i="151"/>
  <c r="GO54" i="151"/>
  <c r="GN54" i="151"/>
  <c r="GM54" i="151"/>
  <c r="GL54" i="151"/>
  <c r="GK54" i="151"/>
  <c r="GJ54" i="151"/>
  <c r="GI54" i="151"/>
  <c r="GH54" i="151"/>
  <c r="GG54" i="151"/>
  <c r="GF54" i="151"/>
  <c r="GE54" i="151"/>
  <c r="GD54" i="151"/>
  <c r="GC54" i="151"/>
  <c r="GB54" i="151"/>
  <c r="GA54" i="151"/>
  <c r="FZ54" i="151"/>
  <c r="FY54" i="151"/>
  <c r="FX54" i="151"/>
  <c r="FW54" i="151"/>
  <c r="FV54" i="151"/>
  <c r="FU54" i="151"/>
  <c r="FT54" i="151"/>
  <c r="FS54" i="151"/>
  <c r="FR54" i="151"/>
  <c r="FQ54" i="151"/>
  <c r="FP54" i="151"/>
  <c r="FO54" i="151"/>
  <c r="FN54" i="151"/>
  <c r="FM54" i="151"/>
  <c r="FL54" i="151"/>
  <c r="FK54" i="151"/>
  <c r="FJ54" i="151"/>
  <c r="FI54" i="151"/>
  <c r="FH54" i="151"/>
  <c r="FG54" i="151"/>
  <c r="FF54" i="151"/>
  <c r="FE54" i="151"/>
  <c r="FD54" i="151"/>
  <c r="FC54" i="151"/>
  <c r="FB54" i="151"/>
  <c r="FA54" i="151"/>
  <c r="EZ54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HV59" i="6"/>
  <c r="HU59" i="6"/>
  <c r="HT59" i="6"/>
  <c r="HS59" i="6"/>
  <c r="HR59" i="6"/>
  <c r="HQ59" i="6"/>
  <c r="HP59" i="6"/>
  <c r="HO59" i="6"/>
  <c r="HN59" i="6"/>
  <c r="HM59" i="6"/>
  <c r="HL59" i="6"/>
  <c r="HK59" i="6"/>
  <c r="HJ59" i="6"/>
  <c r="HI59" i="6"/>
  <c r="HH59" i="6"/>
  <c r="HG59" i="6"/>
  <c r="HF59" i="6"/>
  <c r="HE59" i="6"/>
  <c r="HD59" i="6"/>
  <c r="HC59" i="6"/>
  <c r="HB59" i="6"/>
  <c r="HA59" i="6"/>
  <c r="GZ59" i="6"/>
  <c r="GY59" i="6"/>
  <c r="GX59" i="6"/>
  <c r="GW59" i="6"/>
  <c r="GV59" i="6"/>
  <c r="GU59" i="6"/>
  <c r="GT59" i="6"/>
  <c r="GS59" i="6"/>
  <c r="GR59" i="6"/>
  <c r="GQ59" i="6"/>
  <c r="GP59" i="6"/>
  <c r="GO59" i="6"/>
  <c r="GN59" i="6"/>
  <c r="GM59" i="6"/>
  <c r="GL59" i="6"/>
  <c r="GK59" i="6"/>
  <c r="GJ59" i="6"/>
  <c r="GI59" i="6"/>
  <c r="GH59" i="6"/>
  <c r="GG59" i="6"/>
  <c r="GF59" i="6"/>
  <c r="GE59" i="6"/>
  <c r="GD59" i="6"/>
  <c r="GC59" i="6"/>
  <c r="GB59" i="6"/>
  <c r="GA59" i="6"/>
  <c r="FZ59" i="6"/>
  <c r="FY59" i="6"/>
  <c r="FX59" i="6"/>
  <c r="FW59" i="6"/>
  <c r="FV59" i="6"/>
  <c r="FU59" i="6"/>
  <c r="FT59" i="6"/>
  <c r="FS59" i="6"/>
  <c r="FR59" i="6"/>
  <c r="FQ59" i="6"/>
  <c r="FP59" i="6"/>
  <c r="FO59" i="6"/>
  <c r="FN59" i="6"/>
  <c r="FM59" i="6"/>
  <c r="FL59" i="6"/>
  <c r="FK59" i="6"/>
  <c r="FJ59" i="6"/>
  <c r="FI59" i="6"/>
  <c r="FH59" i="6"/>
  <c r="FG59" i="6"/>
  <c r="FF59" i="6"/>
  <c r="FE59" i="6"/>
  <c r="FD59" i="6"/>
  <c r="FC59" i="6"/>
  <c r="FB59" i="6"/>
  <c r="FA59" i="6"/>
  <c r="EZ59" i="6"/>
  <c r="EY59" i="6"/>
  <c r="EX59" i="6"/>
  <c r="EW59" i="6"/>
  <c r="EV59" i="6"/>
  <c r="EU59" i="6"/>
  <c r="ET59" i="6"/>
  <c r="ES59" i="6"/>
  <c r="ER59" i="6"/>
  <c r="EQ59" i="6"/>
  <c r="EP59" i="6"/>
  <c r="EO59" i="6"/>
  <c r="EN59" i="6"/>
  <c r="EM59" i="6"/>
  <c r="EL59" i="6"/>
  <c r="EK59" i="6"/>
  <c r="EJ59" i="6"/>
  <c r="EI59" i="6"/>
  <c r="EH59" i="6"/>
  <c r="EG59" i="6"/>
  <c r="EF59" i="6"/>
  <c r="EE59" i="6"/>
  <c r="ED59" i="6"/>
  <c r="EC59" i="6"/>
  <c r="EB59" i="6"/>
  <c r="EA59" i="6"/>
  <c r="DZ59" i="6"/>
  <c r="DY59" i="6"/>
  <c r="DX59" i="6"/>
  <c r="DW59" i="6"/>
  <c r="DV59" i="6"/>
  <c r="DU59" i="6"/>
  <c r="DT59" i="6"/>
  <c r="DS59" i="6"/>
  <c r="DR59" i="6"/>
  <c r="DQ59" i="6"/>
  <c r="DP59" i="6"/>
  <c r="DO59" i="6"/>
  <c r="DN59" i="6"/>
  <c r="DM59" i="6"/>
  <c r="DL59" i="6"/>
  <c r="DK59" i="6"/>
  <c r="DJ59" i="6"/>
  <c r="DI59" i="6"/>
  <c r="DH59" i="6"/>
  <c r="DG59" i="6"/>
  <c r="DF59" i="6"/>
  <c r="DE59" i="6"/>
  <c r="DD59" i="6"/>
  <c r="DC59" i="6"/>
  <c r="DB59" i="6"/>
  <c r="DA59" i="6"/>
  <c r="CZ59" i="6"/>
  <c r="CY59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HV58" i="6"/>
  <c r="HU58" i="6"/>
  <c r="HT58" i="6"/>
  <c r="HS58" i="6"/>
  <c r="HR58" i="6"/>
  <c r="HQ58" i="6"/>
  <c r="HP58" i="6"/>
  <c r="HO58" i="6"/>
  <c r="HN58" i="6"/>
  <c r="HM58" i="6"/>
  <c r="HL58" i="6"/>
  <c r="HK58" i="6"/>
  <c r="HJ58" i="6"/>
  <c r="HI58" i="6"/>
  <c r="HH58" i="6"/>
  <c r="HG58" i="6"/>
  <c r="HF58" i="6"/>
  <c r="HE58" i="6"/>
  <c r="HD58" i="6"/>
  <c r="HC58" i="6"/>
  <c r="HB58" i="6"/>
  <c r="HA58" i="6"/>
  <c r="GZ58" i="6"/>
  <c r="GY58" i="6"/>
  <c r="GX58" i="6"/>
  <c r="GW58" i="6"/>
  <c r="GV58" i="6"/>
  <c r="GU58" i="6"/>
  <c r="GT58" i="6"/>
  <c r="GS58" i="6"/>
  <c r="GR58" i="6"/>
  <c r="GQ58" i="6"/>
  <c r="GP58" i="6"/>
  <c r="GO58" i="6"/>
  <c r="GN58" i="6"/>
  <c r="GM58" i="6"/>
  <c r="GL58" i="6"/>
  <c r="GK58" i="6"/>
  <c r="GJ58" i="6"/>
  <c r="GI58" i="6"/>
  <c r="GH58" i="6"/>
  <c r="GG58" i="6"/>
  <c r="GF58" i="6"/>
  <c r="GE58" i="6"/>
  <c r="GD58" i="6"/>
  <c r="GC58" i="6"/>
  <c r="GB58" i="6"/>
  <c r="GA58" i="6"/>
  <c r="FZ58" i="6"/>
  <c r="FY58" i="6"/>
  <c r="FX58" i="6"/>
  <c r="FW58" i="6"/>
  <c r="FV58" i="6"/>
  <c r="FU58" i="6"/>
  <c r="FT58" i="6"/>
  <c r="FS58" i="6"/>
  <c r="FR58" i="6"/>
  <c r="FQ58" i="6"/>
  <c r="FP58" i="6"/>
  <c r="FO58" i="6"/>
  <c r="FN58" i="6"/>
  <c r="FM58" i="6"/>
  <c r="FL58" i="6"/>
  <c r="FK58" i="6"/>
  <c r="FJ58" i="6"/>
  <c r="FI58" i="6"/>
  <c r="FH58" i="6"/>
  <c r="FG58" i="6"/>
  <c r="FF58" i="6"/>
  <c r="FE58" i="6"/>
  <c r="FD58" i="6"/>
  <c r="FC58" i="6"/>
  <c r="FB58" i="6"/>
  <c r="FA58" i="6"/>
  <c r="EZ58" i="6"/>
  <c r="EY58" i="6"/>
  <c r="EX58" i="6"/>
  <c r="EW58" i="6"/>
  <c r="EV58" i="6"/>
  <c r="EU58" i="6"/>
  <c r="ET58" i="6"/>
  <c r="ES58" i="6"/>
  <c r="ER58" i="6"/>
  <c r="EQ58" i="6"/>
  <c r="EP58" i="6"/>
  <c r="EO58" i="6"/>
  <c r="EN58" i="6"/>
  <c r="EM58" i="6"/>
  <c r="EL58" i="6"/>
  <c r="EK58" i="6"/>
  <c r="EJ58" i="6"/>
  <c r="EI58" i="6"/>
  <c r="EH58" i="6"/>
  <c r="EG58" i="6"/>
  <c r="EF58" i="6"/>
  <c r="EE58" i="6"/>
  <c r="ED58" i="6"/>
  <c r="EC58" i="6"/>
  <c r="EB58" i="6"/>
  <c r="EA58" i="6"/>
  <c r="DZ58" i="6"/>
  <c r="DY58" i="6"/>
  <c r="DX58" i="6"/>
  <c r="DW58" i="6"/>
  <c r="DV58" i="6"/>
  <c r="DU58" i="6"/>
  <c r="DT58" i="6"/>
  <c r="DS58" i="6"/>
  <c r="DR58" i="6"/>
  <c r="DQ58" i="6"/>
  <c r="DP58" i="6"/>
  <c r="DO58" i="6"/>
  <c r="DN58" i="6"/>
  <c r="DM58" i="6"/>
  <c r="DL58" i="6"/>
  <c r="DK58" i="6"/>
  <c r="DJ58" i="6"/>
  <c r="DI58" i="6"/>
  <c r="DH58" i="6"/>
  <c r="DG58" i="6"/>
  <c r="DF58" i="6"/>
  <c r="DE58" i="6"/>
  <c r="DD58" i="6"/>
  <c r="DC58" i="6"/>
  <c r="DB58" i="6"/>
  <c r="DA58" i="6"/>
  <c r="CZ58" i="6"/>
  <c r="CY58" i="6"/>
  <c r="CX58" i="6"/>
  <c r="CW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HV57" i="6"/>
  <c r="HU57" i="6"/>
  <c r="HT57" i="6"/>
  <c r="HS57" i="6"/>
  <c r="HR57" i="6"/>
  <c r="HQ57" i="6"/>
  <c r="HP57" i="6"/>
  <c r="HO57" i="6"/>
  <c r="HN57" i="6"/>
  <c r="HM57" i="6"/>
  <c r="HL57" i="6"/>
  <c r="HK57" i="6"/>
  <c r="HJ57" i="6"/>
  <c r="HI57" i="6"/>
  <c r="HH57" i="6"/>
  <c r="HG57" i="6"/>
  <c r="HF57" i="6"/>
  <c r="HE57" i="6"/>
  <c r="HD57" i="6"/>
  <c r="HC57" i="6"/>
  <c r="HB57" i="6"/>
  <c r="HA57" i="6"/>
  <c r="GZ57" i="6"/>
  <c r="GY57" i="6"/>
  <c r="GX57" i="6"/>
  <c r="GW57" i="6"/>
  <c r="GV57" i="6"/>
  <c r="GU57" i="6"/>
  <c r="GT57" i="6"/>
  <c r="GS57" i="6"/>
  <c r="GR57" i="6"/>
  <c r="GQ57" i="6"/>
  <c r="GP57" i="6"/>
  <c r="GO57" i="6"/>
  <c r="GN57" i="6"/>
  <c r="GM57" i="6"/>
  <c r="GL57" i="6"/>
  <c r="GK57" i="6"/>
  <c r="GJ57" i="6"/>
  <c r="GI57" i="6"/>
  <c r="GH57" i="6"/>
  <c r="GG57" i="6"/>
  <c r="GF57" i="6"/>
  <c r="GE57" i="6"/>
  <c r="GD57" i="6"/>
  <c r="GC57" i="6"/>
  <c r="GB57" i="6"/>
  <c r="GA57" i="6"/>
  <c r="FZ57" i="6"/>
  <c r="FY57" i="6"/>
  <c r="FX57" i="6"/>
  <c r="FW57" i="6"/>
  <c r="FV57" i="6"/>
  <c r="FU57" i="6"/>
  <c r="FT57" i="6"/>
  <c r="FS57" i="6"/>
  <c r="FR57" i="6"/>
  <c r="FQ57" i="6"/>
  <c r="FP57" i="6"/>
  <c r="FO57" i="6"/>
  <c r="FN57" i="6"/>
  <c r="FM57" i="6"/>
  <c r="FL57" i="6"/>
  <c r="FK57" i="6"/>
  <c r="FJ57" i="6"/>
  <c r="FI57" i="6"/>
  <c r="FH57" i="6"/>
  <c r="FG57" i="6"/>
  <c r="FF57" i="6"/>
  <c r="FE57" i="6"/>
  <c r="FD57" i="6"/>
  <c r="FC57" i="6"/>
  <c r="FB57" i="6"/>
  <c r="FA57" i="6"/>
  <c r="EZ57" i="6"/>
  <c r="EY57" i="6"/>
  <c r="EX57" i="6"/>
  <c r="EW57" i="6"/>
  <c r="EV57" i="6"/>
  <c r="EU57" i="6"/>
  <c r="ET57" i="6"/>
  <c r="ES57" i="6"/>
  <c r="ER57" i="6"/>
  <c r="EQ57" i="6"/>
  <c r="EP57" i="6"/>
  <c r="EO57" i="6"/>
  <c r="EN57" i="6"/>
  <c r="EM57" i="6"/>
  <c r="EL57" i="6"/>
  <c r="EK57" i="6"/>
  <c r="EJ57" i="6"/>
  <c r="EI57" i="6"/>
  <c r="EH57" i="6"/>
  <c r="EG57" i="6"/>
  <c r="EF57" i="6"/>
  <c r="EE57" i="6"/>
  <c r="ED57" i="6"/>
  <c r="EC57" i="6"/>
  <c r="EB57" i="6"/>
  <c r="EA57" i="6"/>
  <c r="DZ57" i="6"/>
  <c r="DY57" i="6"/>
  <c r="DX57" i="6"/>
  <c r="DW57" i="6"/>
  <c r="DV57" i="6"/>
  <c r="DU57" i="6"/>
  <c r="DT57" i="6"/>
  <c r="DS57" i="6"/>
  <c r="DR57" i="6"/>
  <c r="DQ57" i="6"/>
  <c r="DP57" i="6"/>
  <c r="DO57" i="6"/>
  <c r="DN57" i="6"/>
  <c r="DM57" i="6"/>
  <c r="DL57" i="6"/>
  <c r="DK57" i="6"/>
  <c r="DJ57" i="6"/>
  <c r="DI57" i="6"/>
  <c r="DH57" i="6"/>
  <c r="DG57" i="6"/>
  <c r="DF57" i="6"/>
  <c r="DE57" i="6"/>
  <c r="DD57" i="6"/>
  <c r="DC57" i="6"/>
  <c r="DB57" i="6"/>
  <c r="DA57" i="6"/>
  <c r="CZ57" i="6"/>
  <c r="CY57" i="6"/>
  <c r="CX57" i="6"/>
  <c r="CW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HV56" i="6"/>
  <c r="HU56" i="6"/>
  <c r="HT56" i="6"/>
  <c r="HS56" i="6"/>
  <c r="HR56" i="6"/>
  <c r="HQ56" i="6"/>
  <c r="HP56" i="6"/>
  <c r="HO56" i="6"/>
  <c r="HN56" i="6"/>
  <c r="HM56" i="6"/>
  <c r="HL56" i="6"/>
  <c r="HK56" i="6"/>
  <c r="HJ56" i="6"/>
  <c r="HI56" i="6"/>
  <c r="HH56" i="6"/>
  <c r="HG56" i="6"/>
  <c r="HF56" i="6"/>
  <c r="HE56" i="6"/>
  <c r="HD56" i="6"/>
  <c r="HC56" i="6"/>
  <c r="HB56" i="6"/>
  <c r="HA56" i="6"/>
  <c r="GZ56" i="6"/>
  <c r="GY56" i="6"/>
  <c r="GX56" i="6"/>
  <c r="GW56" i="6"/>
  <c r="GV56" i="6"/>
  <c r="GU56" i="6"/>
  <c r="GT56" i="6"/>
  <c r="GS56" i="6"/>
  <c r="GR56" i="6"/>
  <c r="GQ56" i="6"/>
  <c r="GP56" i="6"/>
  <c r="GO56" i="6"/>
  <c r="GN56" i="6"/>
  <c r="GM56" i="6"/>
  <c r="GL56" i="6"/>
  <c r="GK56" i="6"/>
  <c r="GJ56" i="6"/>
  <c r="GI56" i="6"/>
  <c r="GH56" i="6"/>
  <c r="GG56" i="6"/>
  <c r="GF56" i="6"/>
  <c r="GE56" i="6"/>
  <c r="GD56" i="6"/>
  <c r="GC56" i="6"/>
  <c r="GB56" i="6"/>
  <c r="GA56" i="6"/>
  <c r="FZ56" i="6"/>
  <c r="FY56" i="6"/>
  <c r="FX56" i="6"/>
  <c r="FW56" i="6"/>
  <c r="FV56" i="6"/>
  <c r="FU56" i="6"/>
  <c r="FT56" i="6"/>
  <c r="FS56" i="6"/>
  <c r="FR56" i="6"/>
  <c r="FQ56" i="6"/>
  <c r="FP56" i="6"/>
  <c r="FO56" i="6"/>
  <c r="FN56" i="6"/>
  <c r="FM56" i="6"/>
  <c r="FL56" i="6"/>
  <c r="FK56" i="6"/>
  <c r="FJ56" i="6"/>
  <c r="FI56" i="6"/>
  <c r="FH56" i="6"/>
  <c r="FG56" i="6"/>
  <c r="FF56" i="6"/>
  <c r="FE56" i="6"/>
  <c r="FD56" i="6"/>
  <c r="FC56" i="6"/>
  <c r="FB56" i="6"/>
  <c r="FA56" i="6"/>
  <c r="EZ56" i="6"/>
  <c r="EY56" i="6"/>
  <c r="EX56" i="6"/>
  <c r="EW56" i="6"/>
  <c r="EV56" i="6"/>
  <c r="EU56" i="6"/>
  <c r="ET56" i="6"/>
  <c r="ES56" i="6"/>
  <c r="ER56" i="6"/>
  <c r="EQ56" i="6"/>
  <c r="EP56" i="6"/>
  <c r="EO56" i="6"/>
  <c r="EN56" i="6"/>
  <c r="EM56" i="6"/>
  <c r="EL56" i="6"/>
  <c r="EK56" i="6"/>
  <c r="EJ56" i="6"/>
  <c r="EI56" i="6"/>
  <c r="EH56" i="6"/>
  <c r="EG56" i="6"/>
  <c r="EF56" i="6"/>
  <c r="EE56" i="6"/>
  <c r="ED56" i="6"/>
  <c r="EC56" i="6"/>
  <c r="EB56" i="6"/>
  <c r="EA56" i="6"/>
  <c r="DZ56" i="6"/>
  <c r="DY56" i="6"/>
  <c r="DX56" i="6"/>
  <c r="DW56" i="6"/>
  <c r="DV56" i="6"/>
  <c r="DU56" i="6"/>
  <c r="DT56" i="6"/>
  <c r="DS56" i="6"/>
  <c r="DR56" i="6"/>
  <c r="DQ56" i="6"/>
  <c r="DP56" i="6"/>
  <c r="DO56" i="6"/>
  <c r="DN56" i="6"/>
  <c r="DM56" i="6"/>
  <c r="DL56" i="6"/>
  <c r="DK56" i="6"/>
  <c r="DJ56" i="6"/>
  <c r="DI56" i="6"/>
  <c r="DH56" i="6"/>
  <c r="DG56" i="6"/>
  <c r="DF56" i="6"/>
  <c r="DE56" i="6"/>
  <c r="DD56" i="6"/>
  <c r="DC56" i="6"/>
  <c r="DB56" i="6"/>
  <c r="DA56" i="6"/>
  <c r="CZ56" i="6"/>
  <c r="CY56" i="6"/>
  <c r="CX56" i="6"/>
  <c r="CW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JH55" i="6"/>
  <c r="IO55" i="6"/>
  <c r="HV55" i="6"/>
  <c r="HU55" i="6"/>
  <c r="HT55" i="6"/>
  <c r="HS55" i="6"/>
  <c r="HR55" i="6"/>
  <c r="HQ55" i="6"/>
  <c r="HP55" i="6"/>
  <c r="HO55" i="6"/>
  <c r="HN55" i="6"/>
  <c r="HM55" i="6"/>
  <c r="HL55" i="6"/>
  <c r="HK55" i="6"/>
  <c r="HJ55" i="6"/>
  <c r="HI55" i="6"/>
  <c r="HH55" i="6"/>
  <c r="HG55" i="6"/>
  <c r="HF55" i="6"/>
  <c r="HE55" i="6"/>
  <c r="HD55" i="6"/>
  <c r="HC55" i="6"/>
  <c r="HB55" i="6"/>
  <c r="HA55" i="6"/>
  <c r="GZ55" i="6"/>
  <c r="GY55" i="6"/>
  <c r="GX55" i="6"/>
  <c r="GW55" i="6"/>
  <c r="GV55" i="6"/>
  <c r="GU55" i="6"/>
  <c r="GT55" i="6"/>
  <c r="GS55" i="6"/>
  <c r="GR55" i="6"/>
  <c r="GQ55" i="6"/>
  <c r="GP55" i="6"/>
  <c r="GO55" i="6"/>
  <c r="GN55" i="6"/>
  <c r="GM55" i="6"/>
  <c r="GL55" i="6"/>
  <c r="GK55" i="6"/>
  <c r="GJ55" i="6"/>
  <c r="GI55" i="6"/>
  <c r="GH55" i="6"/>
  <c r="GG55" i="6"/>
  <c r="GF55" i="6"/>
  <c r="GE55" i="6"/>
  <c r="GD55" i="6"/>
  <c r="GC55" i="6"/>
  <c r="GB55" i="6"/>
  <c r="GA55" i="6"/>
  <c r="FZ55" i="6"/>
  <c r="FY55" i="6"/>
  <c r="FX55" i="6"/>
  <c r="FW55" i="6"/>
  <c r="FV55" i="6"/>
  <c r="FU55" i="6"/>
  <c r="FT55" i="6"/>
  <c r="FS55" i="6"/>
  <c r="FR55" i="6"/>
  <c r="FQ55" i="6"/>
  <c r="FP55" i="6"/>
  <c r="FO55" i="6"/>
  <c r="FN55" i="6"/>
  <c r="FM55" i="6"/>
  <c r="FL55" i="6"/>
  <c r="FK55" i="6"/>
  <c r="FJ55" i="6"/>
  <c r="FI55" i="6"/>
  <c r="FH55" i="6"/>
  <c r="FG55" i="6"/>
  <c r="FF55" i="6"/>
  <c r="FE55" i="6"/>
  <c r="FD55" i="6"/>
  <c r="FC55" i="6"/>
  <c r="FB55" i="6"/>
  <c r="FA55" i="6"/>
  <c r="EZ55" i="6"/>
  <c r="EY55" i="6"/>
  <c r="EX55" i="6"/>
  <c r="EW55" i="6"/>
  <c r="EV55" i="6"/>
  <c r="EU55" i="6"/>
  <c r="ET55" i="6"/>
  <c r="ES55" i="6"/>
  <c r="ER55" i="6"/>
  <c r="EQ55" i="6"/>
  <c r="EP55" i="6"/>
  <c r="EO55" i="6"/>
  <c r="EN55" i="6"/>
  <c r="EM55" i="6"/>
  <c r="EL55" i="6"/>
  <c r="EK55" i="6"/>
  <c r="EJ55" i="6"/>
  <c r="EI55" i="6"/>
  <c r="EH55" i="6"/>
  <c r="EG55" i="6"/>
  <c r="EF55" i="6"/>
  <c r="EE55" i="6"/>
  <c r="ED55" i="6"/>
  <c r="EC55" i="6"/>
  <c r="EB55" i="6"/>
  <c r="EA55" i="6"/>
  <c r="DZ55" i="6"/>
  <c r="DY55" i="6"/>
  <c r="DX55" i="6"/>
  <c r="DW55" i="6"/>
  <c r="DV55" i="6"/>
  <c r="DU55" i="6"/>
  <c r="DT55" i="6"/>
  <c r="DS55" i="6"/>
  <c r="DR55" i="6"/>
  <c r="DQ55" i="6"/>
  <c r="DP55" i="6"/>
  <c r="DO55" i="6"/>
  <c r="DN55" i="6"/>
  <c r="DM55" i="6"/>
  <c r="DL55" i="6"/>
  <c r="DK55" i="6"/>
  <c r="DJ55" i="6"/>
  <c r="DI55" i="6"/>
  <c r="DH55" i="6"/>
  <c r="DG55" i="6"/>
  <c r="DF55" i="6"/>
  <c r="DE55" i="6"/>
  <c r="DD55" i="6"/>
  <c r="DC55" i="6"/>
  <c r="DB55" i="6"/>
  <c r="DA55" i="6"/>
  <c r="CZ55" i="6"/>
  <c r="CY55" i="6"/>
  <c r="CX55" i="6"/>
  <c r="CW55" i="6"/>
  <c r="CV55" i="6"/>
  <c r="CU55" i="6"/>
  <c r="CT55" i="6"/>
  <c r="CS55" i="6"/>
  <c r="CA55" i="6"/>
  <c r="BZ55" i="6"/>
  <c r="BH55" i="6"/>
  <c r="BG55" i="6"/>
  <c r="AO55" i="6"/>
  <c r="AN55" i="6"/>
  <c r="V55" i="6"/>
  <c r="JH54" i="6"/>
  <c r="IO54" i="6"/>
  <c r="HV54" i="6"/>
  <c r="HU54" i="6"/>
  <c r="HT54" i="6"/>
  <c r="HS54" i="6"/>
  <c r="HR54" i="6"/>
  <c r="HQ54" i="6"/>
  <c r="HP54" i="6"/>
  <c r="HO54" i="6"/>
  <c r="HN54" i="6"/>
  <c r="HM54" i="6"/>
  <c r="HL54" i="6"/>
  <c r="HK54" i="6"/>
  <c r="HJ54" i="6"/>
  <c r="HI54" i="6"/>
  <c r="HH54" i="6"/>
  <c r="HG54" i="6"/>
  <c r="HF54" i="6"/>
  <c r="HE54" i="6"/>
  <c r="HD54" i="6"/>
  <c r="HC54" i="6"/>
  <c r="HB54" i="6"/>
  <c r="HA54" i="6"/>
  <c r="GZ54" i="6"/>
  <c r="GY54" i="6"/>
  <c r="GX54" i="6"/>
  <c r="GW54" i="6"/>
  <c r="GV54" i="6"/>
  <c r="GU54" i="6"/>
  <c r="GT54" i="6"/>
  <c r="GS54" i="6"/>
  <c r="GR54" i="6"/>
  <c r="GQ54" i="6"/>
  <c r="GP54" i="6"/>
  <c r="GO54" i="6"/>
  <c r="GN54" i="6"/>
  <c r="GM54" i="6"/>
  <c r="GL54" i="6"/>
  <c r="GK54" i="6"/>
  <c r="GJ54" i="6"/>
  <c r="GI54" i="6"/>
  <c r="GH54" i="6"/>
  <c r="GG54" i="6"/>
  <c r="GF54" i="6"/>
  <c r="GE54" i="6"/>
  <c r="GD54" i="6"/>
  <c r="GC54" i="6"/>
  <c r="GB54" i="6"/>
  <c r="GA54" i="6"/>
  <c r="FZ54" i="6"/>
  <c r="FY54" i="6"/>
  <c r="FX54" i="6"/>
  <c r="FW54" i="6"/>
  <c r="FV54" i="6"/>
  <c r="FU54" i="6"/>
  <c r="FT54" i="6"/>
  <c r="FS54" i="6"/>
  <c r="FR54" i="6"/>
  <c r="FQ54" i="6"/>
  <c r="FP54" i="6"/>
  <c r="FO54" i="6"/>
  <c r="FN54" i="6"/>
  <c r="FM54" i="6"/>
  <c r="FL54" i="6"/>
  <c r="FK54" i="6"/>
  <c r="FJ54" i="6"/>
  <c r="FI54" i="6"/>
  <c r="FH54" i="6"/>
  <c r="FG54" i="6"/>
  <c r="FF54" i="6"/>
  <c r="FE54" i="6"/>
  <c r="FD54" i="6"/>
  <c r="FC54" i="6"/>
  <c r="FB54" i="6"/>
  <c r="FA54" i="6"/>
  <c r="EZ54" i="6"/>
  <c r="EY54" i="6"/>
  <c r="EX54" i="6"/>
  <c r="EW54" i="6"/>
  <c r="EV54" i="6"/>
  <c r="EU54" i="6"/>
  <c r="ET54" i="6"/>
  <c r="ES54" i="6"/>
  <c r="ER54" i="6"/>
  <c r="EQ54" i="6"/>
  <c r="EP54" i="6"/>
  <c r="EO54" i="6"/>
  <c r="EN54" i="6"/>
  <c r="EM54" i="6"/>
  <c r="EL54" i="6"/>
  <c r="EK54" i="6"/>
  <c r="EJ54" i="6"/>
  <c r="EI54" i="6"/>
  <c r="EH54" i="6"/>
  <c r="EG54" i="6"/>
  <c r="EF54" i="6"/>
  <c r="EE54" i="6"/>
  <c r="ED54" i="6"/>
  <c r="EC54" i="6"/>
  <c r="EB54" i="6"/>
  <c r="EA54" i="6"/>
  <c r="DZ54" i="6"/>
  <c r="DY54" i="6"/>
  <c r="DX5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CA54" i="6"/>
  <c r="BZ54" i="6"/>
  <c r="BH54" i="6"/>
  <c r="BG54" i="6"/>
  <c r="AO54" i="6"/>
  <c r="AN54" i="6"/>
  <c r="V54" i="6"/>
  <c r="IO53" i="6"/>
  <c r="HV53" i="6"/>
  <c r="HC53" i="6"/>
  <c r="GJ53" i="6"/>
  <c r="FQ53" i="6"/>
  <c r="EX53" i="6"/>
  <c r="EE53" i="6"/>
  <c r="DL53" i="6"/>
  <c r="CS53" i="6"/>
  <c r="BZ53" i="6"/>
  <c r="BG53" i="6"/>
  <c r="AN53" i="6"/>
  <c r="U53" i="6"/>
  <c r="IO52" i="6"/>
  <c r="HV52" i="6"/>
  <c r="HC52" i="6"/>
  <c r="GJ52" i="6"/>
  <c r="FQ52" i="6"/>
  <c r="EX52" i="6"/>
  <c r="EE52" i="6"/>
  <c r="DL52" i="6"/>
  <c r="CS52" i="6"/>
  <c r="BZ52" i="6"/>
  <c r="BG52" i="6"/>
  <c r="AN52" i="6"/>
  <c r="U52" i="6"/>
  <c r="IO51" i="6"/>
  <c r="HV51" i="6"/>
  <c r="HC51" i="6"/>
  <c r="GJ51" i="6"/>
  <c r="FQ51" i="6"/>
  <c r="EX51" i="6"/>
  <c r="EE51" i="6"/>
  <c r="DL51" i="6"/>
  <c r="CS51" i="6"/>
  <c r="BZ51" i="6"/>
  <c r="BG51" i="6"/>
  <c r="AN51" i="6"/>
  <c r="U51" i="6"/>
  <c r="IO50" i="6"/>
  <c r="HV50" i="6"/>
  <c r="HC50" i="6"/>
  <c r="GJ50" i="6"/>
  <c r="FQ50" i="6"/>
  <c r="EX50" i="6"/>
  <c r="EE50" i="6"/>
  <c r="DL50" i="6"/>
  <c r="CS50" i="6"/>
  <c r="BZ50" i="6"/>
  <c r="BG50" i="6"/>
  <c r="AN50" i="6"/>
  <c r="U50" i="6"/>
  <c r="IO49" i="6"/>
  <c r="HV49" i="6"/>
  <c r="HC49" i="6"/>
  <c r="GJ49" i="6"/>
  <c r="FQ49" i="6"/>
  <c r="EX49" i="6"/>
  <c r="EE49" i="6"/>
  <c r="DL49" i="6"/>
  <c r="CS49" i="6"/>
  <c r="BZ49" i="6"/>
  <c r="BG49" i="6"/>
  <c r="AN49" i="6"/>
  <c r="U49" i="6"/>
  <c r="IO48" i="6"/>
  <c r="HV48" i="6"/>
  <c r="HC48" i="6"/>
  <c r="GJ48" i="6"/>
  <c r="FQ48" i="6"/>
  <c r="EX48" i="6"/>
  <c r="EE48" i="6"/>
  <c r="DL48" i="6"/>
  <c r="CS48" i="6"/>
  <c r="BZ48" i="6"/>
  <c r="BG48" i="6"/>
  <c r="AN48" i="6"/>
  <c r="U48" i="6"/>
  <c r="IO47" i="6"/>
  <c r="HV47" i="6"/>
  <c r="HC47" i="6"/>
  <c r="GJ47" i="6"/>
  <c r="FQ47" i="6"/>
  <c r="EX47" i="6"/>
  <c r="EE47" i="6"/>
  <c r="DL47" i="6"/>
  <c r="CS47" i="6"/>
  <c r="BZ47" i="6"/>
  <c r="BG47" i="6"/>
  <c r="AN47" i="6"/>
  <c r="U47" i="6"/>
  <c r="IO46" i="6"/>
  <c r="HV46" i="6"/>
  <c r="HC46" i="6"/>
  <c r="GJ46" i="6"/>
  <c r="FQ46" i="6"/>
  <c r="EX46" i="6"/>
  <c r="EE46" i="6"/>
  <c r="DL46" i="6"/>
  <c r="CS46" i="6"/>
  <c r="BZ46" i="6"/>
  <c r="BG46" i="6"/>
  <c r="AN46" i="6"/>
  <c r="U46" i="6"/>
  <c r="IO45" i="6"/>
  <c r="HV45" i="6"/>
  <c r="HC45" i="6"/>
  <c r="GJ45" i="6"/>
  <c r="FQ45" i="6"/>
  <c r="EX45" i="6"/>
  <c r="EE45" i="6"/>
  <c r="DL45" i="6"/>
  <c r="CS45" i="6"/>
  <c r="BZ45" i="6"/>
  <c r="BG45" i="6"/>
  <c r="AN45" i="6"/>
  <c r="U45" i="6"/>
  <c r="HV59" i="5"/>
  <c r="HU59" i="5"/>
  <c r="HT59" i="5"/>
  <c r="HS59" i="5"/>
  <c r="HR59" i="5"/>
  <c r="HQ59" i="5"/>
  <c r="HP59" i="5"/>
  <c r="HO59" i="5"/>
  <c r="HN59" i="5"/>
  <c r="HM59" i="5"/>
  <c r="HL59" i="5"/>
  <c r="HK59" i="5"/>
  <c r="HJ59" i="5"/>
  <c r="HI59" i="5"/>
  <c r="HH59" i="5"/>
  <c r="HG59" i="5"/>
  <c r="HF59" i="5"/>
  <c r="HE59" i="5"/>
  <c r="HD59" i="5"/>
  <c r="HC59" i="5"/>
  <c r="HB59" i="5"/>
  <c r="HA59" i="5"/>
  <c r="GZ59" i="5"/>
  <c r="GY59" i="5"/>
  <c r="GX59" i="5"/>
  <c r="GW59" i="5"/>
  <c r="GV59" i="5"/>
  <c r="GU59" i="5"/>
  <c r="GT59" i="5"/>
  <c r="GS59" i="5"/>
  <c r="GR59" i="5"/>
  <c r="GQ59" i="5"/>
  <c r="GP59" i="5"/>
  <c r="GO59" i="5"/>
  <c r="GN59" i="5"/>
  <c r="GM59" i="5"/>
  <c r="GL59" i="5"/>
  <c r="GK59" i="5"/>
  <c r="GJ59" i="5"/>
  <c r="GI59" i="5"/>
  <c r="GH59" i="5"/>
  <c r="GG59" i="5"/>
  <c r="GF59" i="5"/>
  <c r="GE59" i="5"/>
  <c r="GD59" i="5"/>
  <c r="GC59" i="5"/>
  <c r="GB59" i="5"/>
  <c r="GA59" i="5"/>
  <c r="FZ59" i="5"/>
  <c r="FY59" i="5"/>
  <c r="FX59" i="5"/>
  <c r="FW59" i="5"/>
  <c r="FV59" i="5"/>
  <c r="FU59" i="5"/>
  <c r="FT59" i="5"/>
  <c r="FS59" i="5"/>
  <c r="FR59" i="5"/>
  <c r="FQ59" i="5"/>
  <c r="FP59" i="5"/>
  <c r="FO59" i="5"/>
  <c r="FN59" i="5"/>
  <c r="FM59" i="5"/>
  <c r="FL59" i="5"/>
  <c r="FK59" i="5"/>
  <c r="FJ59" i="5"/>
  <c r="FI59" i="5"/>
  <c r="FH59" i="5"/>
  <c r="FG59" i="5"/>
  <c r="FF59" i="5"/>
  <c r="FE59" i="5"/>
  <c r="FD59" i="5"/>
  <c r="FC59" i="5"/>
  <c r="FB59" i="5"/>
  <c r="FA59" i="5"/>
  <c r="EZ59" i="5"/>
  <c r="EY59" i="5"/>
  <c r="EX59" i="5"/>
  <c r="EW59" i="5"/>
  <c r="EV59" i="5"/>
  <c r="EU59" i="5"/>
  <c r="ET59" i="5"/>
  <c r="ES59" i="5"/>
  <c r="ER59" i="5"/>
  <c r="EQ59" i="5"/>
  <c r="EP59" i="5"/>
  <c r="EO59" i="5"/>
  <c r="EN59" i="5"/>
  <c r="EM59" i="5"/>
  <c r="EL59" i="5"/>
  <c r="EK59" i="5"/>
  <c r="EJ59" i="5"/>
  <c r="EI59" i="5"/>
  <c r="EH59" i="5"/>
  <c r="EG59" i="5"/>
  <c r="EF59" i="5"/>
  <c r="EE59" i="5"/>
  <c r="ED59" i="5"/>
  <c r="EC59" i="5"/>
  <c r="EB59" i="5"/>
  <c r="EA59" i="5"/>
  <c r="DZ59" i="5"/>
  <c r="DY59" i="5"/>
  <c r="DX59" i="5"/>
  <c r="DW59" i="5"/>
  <c r="DV59" i="5"/>
  <c r="DU59" i="5"/>
  <c r="DT59" i="5"/>
  <c r="DS59" i="5"/>
  <c r="DR59" i="5"/>
  <c r="DQ59" i="5"/>
  <c r="DP59" i="5"/>
  <c r="DO59" i="5"/>
  <c r="DN59" i="5"/>
  <c r="DM59" i="5"/>
  <c r="DL59" i="5"/>
  <c r="DK59" i="5"/>
  <c r="DJ59" i="5"/>
  <c r="DI59" i="5"/>
  <c r="DH59" i="5"/>
  <c r="DG59" i="5"/>
  <c r="DF59" i="5"/>
  <c r="DE59" i="5"/>
  <c r="DD59" i="5"/>
  <c r="DC59" i="5"/>
  <c r="DB59" i="5"/>
  <c r="DA59" i="5"/>
  <c r="CZ59" i="5"/>
  <c r="CY59" i="5"/>
  <c r="CX59" i="5"/>
  <c r="CW59" i="5"/>
  <c r="CV59" i="5"/>
  <c r="CU59" i="5"/>
  <c r="CT59" i="5"/>
  <c r="CS59" i="5"/>
  <c r="CR59" i="5"/>
  <c r="CQ59" i="5"/>
  <c r="CP59" i="5"/>
  <c r="CO59" i="5"/>
  <c r="CN59" i="5"/>
  <c r="CM59" i="5"/>
  <c r="CL59" i="5"/>
  <c r="CK59" i="5"/>
  <c r="CJ59" i="5"/>
  <c r="CI59" i="5"/>
  <c r="CH59" i="5"/>
  <c r="CG59" i="5"/>
  <c r="CF59" i="5"/>
  <c r="CE59" i="5"/>
  <c r="CD59" i="5"/>
  <c r="CC59" i="5"/>
  <c r="CB59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HV58" i="5"/>
  <c r="HU58" i="5"/>
  <c r="HT58" i="5"/>
  <c r="HS58" i="5"/>
  <c r="HR58" i="5"/>
  <c r="HQ58" i="5"/>
  <c r="HP58" i="5"/>
  <c r="HO58" i="5"/>
  <c r="HN58" i="5"/>
  <c r="HM58" i="5"/>
  <c r="HL58" i="5"/>
  <c r="HK58" i="5"/>
  <c r="HJ58" i="5"/>
  <c r="HI58" i="5"/>
  <c r="HH58" i="5"/>
  <c r="HG58" i="5"/>
  <c r="HF58" i="5"/>
  <c r="HE58" i="5"/>
  <c r="HD58" i="5"/>
  <c r="HC58" i="5"/>
  <c r="HB58" i="5"/>
  <c r="HA58" i="5"/>
  <c r="GZ58" i="5"/>
  <c r="GY58" i="5"/>
  <c r="GX58" i="5"/>
  <c r="GW58" i="5"/>
  <c r="GV58" i="5"/>
  <c r="GU58" i="5"/>
  <c r="GT58" i="5"/>
  <c r="GS58" i="5"/>
  <c r="GR58" i="5"/>
  <c r="GQ58" i="5"/>
  <c r="GP58" i="5"/>
  <c r="GO58" i="5"/>
  <c r="GN58" i="5"/>
  <c r="GM58" i="5"/>
  <c r="GL58" i="5"/>
  <c r="GK58" i="5"/>
  <c r="GJ58" i="5"/>
  <c r="GI58" i="5"/>
  <c r="GH58" i="5"/>
  <c r="GG58" i="5"/>
  <c r="GF58" i="5"/>
  <c r="GE58" i="5"/>
  <c r="GD58" i="5"/>
  <c r="GC58" i="5"/>
  <c r="GB58" i="5"/>
  <c r="GA58" i="5"/>
  <c r="FZ58" i="5"/>
  <c r="FY58" i="5"/>
  <c r="FX58" i="5"/>
  <c r="FW58" i="5"/>
  <c r="FV58" i="5"/>
  <c r="FU58" i="5"/>
  <c r="FT58" i="5"/>
  <c r="FS58" i="5"/>
  <c r="FR58" i="5"/>
  <c r="FQ58" i="5"/>
  <c r="FP58" i="5"/>
  <c r="FO58" i="5"/>
  <c r="FN58" i="5"/>
  <c r="FM58" i="5"/>
  <c r="FL58" i="5"/>
  <c r="FK58" i="5"/>
  <c r="FJ58" i="5"/>
  <c r="FI58" i="5"/>
  <c r="FH58" i="5"/>
  <c r="FG58" i="5"/>
  <c r="FF58" i="5"/>
  <c r="FE58" i="5"/>
  <c r="FD58" i="5"/>
  <c r="FC58" i="5"/>
  <c r="FB58" i="5"/>
  <c r="FA58" i="5"/>
  <c r="EZ58" i="5"/>
  <c r="EY58" i="5"/>
  <c r="EX58" i="5"/>
  <c r="EW58" i="5"/>
  <c r="EV58" i="5"/>
  <c r="EU58" i="5"/>
  <c r="ET58" i="5"/>
  <c r="ES58" i="5"/>
  <c r="ER58" i="5"/>
  <c r="EQ58" i="5"/>
  <c r="EP58" i="5"/>
  <c r="EO58" i="5"/>
  <c r="EN58" i="5"/>
  <c r="EM58" i="5"/>
  <c r="EL58" i="5"/>
  <c r="EK58" i="5"/>
  <c r="EJ58" i="5"/>
  <c r="EI58" i="5"/>
  <c r="EH58" i="5"/>
  <c r="EG58" i="5"/>
  <c r="EF58" i="5"/>
  <c r="EE58" i="5"/>
  <c r="ED58" i="5"/>
  <c r="EC58" i="5"/>
  <c r="EB58" i="5"/>
  <c r="EA58" i="5"/>
  <c r="DZ58" i="5"/>
  <c r="DY58" i="5"/>
  <c r="DX58" i="5"/>
  <c r="DW58" i="5"/>
  <c r="DV58" i="5"/>
  <c r="DU58" i="5"/>
  <c r="DT58" i="5"/>
  <c r="DS58" i="5"/>
  <c r="DR58" i="5"/>
  <c r="DQ58" i="5"/>
  <c r="DP58" i="5"/>
  <c r="DO58" i="5"/>
  <c r="DN58" i="5"/>
  <c r="DM58" i="5"/>
  <c r="DL58" i="5"/>
  <c r="DK58" i="5"/>
  <c r="DJ58" i="5"/>
  <c r="DI58" i="5"/>
  <c r="DH58" i="5"/>
  <c r="DG58" i="5"/>
  <c r="DF58" i="5"/>
  <c r="DE58" i="5"/>
  <c r="DD58" i="5"/>
  <c r="DC58" i="5"/>
  <c r="DB58" i="5"/>
  <c r="DA58" i="5"/>
  <c r="CZ58" i="5"/>
  <c r="CY58" i="5"/>
  <c r="CX58" i="5"/>
  <c r="CW58" i="5"/>
  <c r="CV58" i="5"/>
  <c r="CU58" i="5"/>
  <c r="CT58" i="5"/>
  <c r="CS58" i="5"/>
  <c r="CR58" i="5"/>
  <c r="CQ58" i="5"/>
  <c r="CP58" i="5"/>
  <c r="CO58" i="5"/>
  <c r="CN58" i="5"/>
  <c r="CM58" i="5"/>
  <c r="CL58" i="5"/>
  <c r="CK58" i="5"/>
  <c r="CJ58" i="5"/>
  <c r="CI58" i="5"/>
  <c r="CH58" i="5"/>
  <c r="CG58" i="5"/>
  <c r="CF58" i="5"/>
  <c r="CE58" i="5"/>
  <c r="CD58" i="5"/>
  <c r="CC58" i="5"/>
  <c r="CB58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HV57" i="5"/>
  <c r="HU57" i="5"/>
  <c r="HT57" i="5"/>
  <c r="HS57" i="5"/>
  <c r="HR57" i="5"/>
  <c r="HQ57" i="5"/>
  <c r="HP57" i="5"/>
  <c r="HO57" i="5"/>
  <c r="HN57" i="5"/>
  <c r="HM57" i="5"/>
  <c r="HL57" i="5"/>
  <c r="HK57" i="5"/>
  <c r="HJ57" i="5"/>
  <c r="HI57" i="5"/>
  <c r="HH57" i="5"/>
  <c r="HG57" i="5"/>
  <c r="HF57" i="5"/>
  <c r="HE57" i="5"/>
  <c r="HD57" i="5"/>
  <c r="HC57" i="5"/>
  <c r="HB57" i="5"/>
  <c r="HA57" i="5"/>
  <c r="GZ57" i="5"/>
  <c r="GY57" i="5"/>
  <c r="GX57" i="5"/>
  <c r="GW57" i="5"/>
  <c r="GV57" i="5"/>
  <c r="GU57" i="5"/>
  <c r="GT57" i="5"/>
  <c r="GS57" i="5"/>
  <c r="GR57" i="5"/>
  <c r="GQ57" i="5"/>
  <c r="GP57" i="5"/>
  <c r="GO57" i="5"/>
  <c r="GN57" i="5"/>
  <c r="GM57" i="5"/>
  <c r="GL57" i="5"/>
  <c r="GK57" i="5"/>
  <c r="GJ57" i="5"/>
  <c r="GI57" i="5"/>
  <c r="GH57" i="5"/>
  <c r="GG57" i="5"/>
  <c r="GF57" i="5"/>
  <c r="GE57" i="5"/>
  <c r="GD57" i="5"/>
  <c r="GC57" i="5"/>
  <c r="GB57" i="5"/>
  <c r="GA57" i="5"/>
  <c r="FZ57" i="5"/>
  <c r="FY57" i="5"/>
  <c r="FX57" i="5"/>
  <c r="FW57" i="5"/>
  <c r="FV57" i="5"/>
  <c r="FU57" i="5"/>
  <c r="FT57" i="5"/>
  <c r="FS57" i="5"/>
  <c r="FR57" i="5"/>
  <c r="FQ57" i="5"/>
  <c r="FP57" i="5"/>
  <c r="FO57" i="5"/>
  <c r="FN57" i="5"/>
  <c r="FM57" i="5"/>
  <c r="FL57" i="5"/>
  <c r="FK57" i="5"/>
  <c r="FJ57" i="5"/>
  <c r="FI57" i="5"/>
  <c r="FH57" i="5"/>
  <c r="FG57" i="5"/>
  <c r="FF57" i="5"/>
  <c r="FE57" i="5"/>
  <c r="FD57" i="5"/>
  <c r="FC57" i="5"/>
  <c r="FB57" i="5"/>
  <c r="FA57" i="5"/>
  <c r="EZ57" i="5"/>
  <c r="EY57" i="5"/>
  <c r="EX57" i="5"/>
  <c r="EW57" i="5"/>
  <c r="EV57" i="5"/>
  <c r="EU57" i="5"/>
  <c r="ET57" i="5"/>
  <c r="ES57" i="5"/>
  <c r="ER57" i="5"/>
  <c r="EQ57" i="5"/>
  <c r="EP57" i="5"/>
  <c r="EO57" i="5"/>
  <c r="EN57" i="5"/>
  <c r="EM57" i="5"/>
  <c r="EL57" i="5"/>
  <c r="EK57" i="5"/>
  <c r="EJ57" i="5"/>
  <c r="EI57" i="5"/>
  <c r="EH57" i="5"/>
  <c r="EG57" i="5"/>
  <c r="EF57" i="5"/>
  <c r="EE57" i="5"/>
  <c r="ED57" i="5"/>
  <c r="EC57" i="5"/>
  <c r="EB57" i="5"/>
  <c r="EA57" i="5"/>
  <c r="DZ57" i="5"/>
  <c r="DY57" i="5"/>
  <c r="DX57" i="5"/>
  <c r="DW57" i="5"/>
  <c r="DV57" i="5"/>
  <c r="DU57" i="5"/>
  <c r="DT57" i="5"/>
  <c r="DS57" i="5"/>
  <c r="DR57" i="5"/>
  <c r="DQ57" i="5"/>
  <c r="DP57" i="5"/>
  <c r="DO57" i="5"/>
  <c r="DN57" i="5"/>
  <c r="DM57" i="5"/>
  <c r="DL57" i="5"/>
  <c r="DK57" i="5"/>
  <c r="DJ57" i="5"/>
  <c r="DI57" i="5"/>
  <c r="DH57" i="5"/>
  <c r="DG57" i="5"/>
  <c r="DF57" i="5"/>
  <c r="DE57" i="5"/>
  <c r="DD57" i="5"/>
  <c r="DC57" i="5"/>
  <c r="DB57" i="5"/>
  <c r="DA57" i="5"/>
  <c r="CZ57" i="5"/>
  <c r="CY57" i="5"/>
  <c r="CX57" i="5"/>
  <c r="CW57" i="5"/>
  <c r="CV57" i="5"/>
  <c r="CU57" i="5"/>
  <c r="CT57" i="5"/>
  <c r="CS57" i="5"/>
  <c r="CR57" i="5"/>
  <c r="CQ57" i="5"/>
  <c r="CP57" i="5"/>
  <c r="CO57" i="5"/>
  <c r="CN57" i="5"/>
  <c r="CM57" i="5"/>
  <c r="CL57" i="5"/>
  <c r="CK57" i="5"/>
  <c r="CJ57" i="5"/>
  <c r="CI57" i="5"/>
  <c r="CH57" i="5"/>
  <c r="CG57" i="5"/>
  <c r="CF57" i="5"/>
  <c r="CE57" i="5"/>
  <c r="CD57" i="5"/>
  <c r="CC57" i="5"/>
  <c r="CB57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HV56" i="5"/>
  <c r="HU56" i="5"/>
  <c r="HT56" i="5"/>
  <c r="HS56" i="5"/>
  <c r="HR56" i="5"/>
  <c r="HQ56" i="5"/>
  <c r="HP56" i="5"/>
  <c r="HO56" i="5"/>
  <c r="HN56" i="5"/>
  <c r="HM56" i="5"/>
  <c r="HL56" i="5"/>
  <c r="HK56" i="5"/>
  <c r="HJ56" i="5"/>
  <c r="HI56" i="5"/>
  <c r="HH56" i="5"/>
  <c r="HG56" i="5"/>
  <c r="HF56" i="5"/>
  <c r="HE56" i="5"/>
  <c r="HD56" i="5"/>
  <c r="HC56" i="5"/>
  <c r="HB56" i="5"/>
  <c r="HA56" i="5"/>
  <c r="GZ56" i="5"/>
  <c r="GY56" i="5"/>
  <c r="GX56" i="5"/>
  <c r="GW56" i="5"/>
  <c r="GV56" i="5"/>
  <c r="GU56" i="5"/>
  <c r="GT56" i="5"/>
  <c r="GS56" i="5"/>
  <c r="GR56" i="5"/>
  <c r="GQ56" i="5"/>
  <c r="GP56" i="5"/>
  <c r="GO56" i="5"/>
  <c r="GN56" i="5"/>
  <c r="GM56" i="5"/>
  <c r="GL56" i="5"/>
  <c r="GK56" i="5"/>
  <c r="GJ56" i="5"/>
  <c r="GI56" i="5"/>
  <c r="GH56" i="5"/>
  <c r="GG56" i="5"/>
  <c r="GF56" i="5"/>
  <c r="GE56" i="5"/>
  <c r="GD56" i="5"/>
  <c r="GC56" i="5"/>
  <c r="GB56" i="5"/>
  <c r="GA56" i="5"/>
  <c r="FZ56" i="5"/>
  <c r="FY56" i="5"/>
  <c r="FX56" i="5"/>
  <c r="FW56" i="5"/>
  <c r="FV56" i="5"/>
  <c r="FU56" i="5"/>
  <c r="FT56" i="5"/>
  <c r="FS56" i="5"/>
  <c r="FR56" i="5"/>
  <c r="FQ56" i="5"/>
  <c r="FP56" i="5"/>
  <c r="FO56" i="5"/>
  <c r="FN56" i="5"/>
  <c r="FM56" i="5"/>
  <c r="FL56" i="5"/>
  <c r="FK56" i="5"/>
  <c r="FJ56" i="5"/>
  <c r="FI56" i="5"/>
  <c r="FH56" i="5"/>
  <c r="FG56" i="5"/>
  <c r="FF56" i="5"/>
  <c r="FE56" i="5"/>
  <c r="FD56" i="5"/>
  <c r="FC56" i="5"/>
  <c r="FB56" i="5"/>
  <c r="FA56" i="5"/>
  <c r="EZ56" i="5"/>
  <c r="EY56" i="5"/>
  <c r="EX56" i="5"/>
  <c r="EW56" i="5"/>
  <c r="EV56" i="5"/>
  <c r="EU56" i="5"/>
  <c r="ET56" i="5"/>
  <c r="ES56" i="5"/>
  <c r="ER56" i="5"/>
  <c r="EQ56" i="5"/>
  <c r="EP56" i="5"/>
  <c r="EO56" i="5"/>
  <c r="EN56" i="5"/>
  <c r="EM56" i="5"/>
  <c r="EL56" i="5"/>
  <c r="EK56" i="5"/>
  <c r="EJ56" i="5"/>
  <c r="EI56" i="5"/>
  <c r="EH56" i="5"/>
  <c r="EG56" i="5"/>
  <c r="EF56" i="5"/>
  <c r="EE56" i="5"/>
  <c r="ED56" i="5"/>
  <c r="EC56" i="5"/>
  <c r="EB56" i="5"/>
  <c r="EA56" i="5"/>
  <c r="DZ56" i="5"/>
  <c r="DY56" i="5"/>
  <c r="DX56" i="5"/>
  <c r="DW56" i="5"/>
  <c r="DV56" i="5"/>
  <c r="DU56" i="5"/>
  <c r="DT56" i="5"/>
  <c r="DS56" i="5"/>
  <c r="DR56" i="5"/>
  <c r="DQ56" i="5"/>
  <c r="DP56" i="5"/>
  <c r="DO56" i="5"/>
  <c r="DN56" i="5"/>
  <c r="DM56" i="5"/>
  <c r="DL56" i="5"/>
  <c r="DK56" i="5"/>
  <c r="DJ56" i="5"/>
  <c r="DI56" i="5"/>
  <c r="DH56" i="5"/>
  <c r="DG56" i="5"/>
  <c r="DF56" i="5"/>
  <c r="DE56" i="5"/>
  <c r="DD56" i="5"/>
  <c r="DC56" i="5"/>
  <c r="DB56" i="5"/>
  <c r="DA56" i="5"/>
  <c r="CZ56" i="5"/>
  <c r="CY56" i="5"/>
  <c r="CX56" i="5"/>
  <c r="CW56" i="5"/>
  <c r="CV56" i="5"/>
  <c r="CU56" i="5"/>
  <c r="CT56" i="5"/>
  <c r="CS56" i="5"/>
  <c r="CR56" i="5"/>
  <c r="CQ56" i="5"/>
  <c r="CP56" i="5"/>
  <c r="CO56" i="5"/>
  <c r="CN56" i="5"/>
  <c r="CM56" i="5"/>
  <c r="CL56" i="5"/>
  <c r="CK56" i="5"/>
  <c r="CJ56" i="5"/>
  <c r="CI56" i="5"/>
  <c r="CH56" i="5"/>
  <c r="CG56" i="5"/>
  <c r="CF56" i="5"/>
  <c r="CE56" i="5"/>
  <c r="CD56" i="5"/>
  <c r="CC56" i="5"/>
  <c r="CB56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HV55" i="5"/>
  <c r="HU55" i="5"/>
  <c r="HT55" i="5"/>
  <c r="HS55" i="5"/>
  <c r="HR55" i="5"/>
  <c r="HQ55" i="5"/>
  <c r="HP55" i="5"/>
  <c r="HO55" i="5"/>
  <c r="HN55" i="5"/>
  <c r="HM55" i="5"/>
  <c r="HL55" i="5"/>
  <c r="HK55" i="5"/>
  <c r="HJ55" i="5"/>
  <c r="HI55" i="5"/>
  <c r="HH55" i="5"/>
  <c r="HG55" i="5"/>
  <c r="HF55" i="5"/>
  <c r="HE55" i="5"/>
  <c r="HD55" i="5"/>
  <c r="HC55" i="5"/>
  <c r="HB55" i="5"/>
  <c r="HA55" i="5"/>
  <c r="GZ55" i="5"/>
  <c r="GY55" i="5"/>
  <c r="GX55" i="5"/>
  <c r="GW55" i="5"/>
  <c r="GV55" i="5"/>
  <c r="GU55" i="5"/>
  <c r="GT55" i="5"/>
  <c r="GS55" i="5"/>
  <c r="GR55" i="5"/>
  <c r="GQ55" i="5"/>
  <c r="GP55" i="5"/>
  <c r="GO55" i="5"/>
  <c r="GN55" i="5"/>
  <c r="GM55" i="5"/>
  <c r="GL55" i="5"/>
  <c r="GK55" i="5"/>
  <c r="GJ55" i="5"/>
  <c r="GI55" i="5"/>
  <c r="GH55" i="5"/>
  <c r="GG55" i="5"/>
  <c r="GF55" i="5"/>
  <c r="GE55" i="5"/>
  <c r="GD55" i="5"/>
  <c r="GC55" i="5"/>
  <c r="GB55" i="5"/>
  <c r="GA55" i="5"/>
  <c r="FZ55" i="5"/>
  <c r="FY55" i="5"/>
  <c r="FX55" i="5"/>
  <c r="FW55" i="5"/>
  <c r="FV55" i="5"/>
  <c r="FU55" i="5"/>
  <c r="FT55" i="5"/>
  <c r="FS55" i="5"/>
  <c r="FR55" i="5"/>
  <c r="FQ55" i="5"/>
  <c r="FP55" i="5"/>
  <c r="FO55" i="5"/>
  <c r="FN55" i="5"/>
  <c r="FM55" i="5"/>
  <c r="FL55" i="5"/>
  <c r="FK55" i="5"/>
  <c r="FJ55" i="5"/>
  <c r="FI55" i="5"/>
  <c r="FH55" i="5"/>
  <c r="FG55" i="5"/>
  <c r="FF55" i="5"/>
  <c r="FE55" i="5"/>
  <c r="FD55" i="5"/>
  <c r="FC55" i="5"/>
  <c r="FB55" i="5"/>
  <c r="FA55" i="5"/>
  <c r="EZ55" i="5"/>
  <c r="EY55" i="5"/>
  <c r="EX55" i="5"/>
  <c r="EW55" i="5"/>
  <c r="EV55" i="5"/>
  <c r="EU55" i="5"/>
  <c r="ET55" i="5"/>
  <c r="ES55" i="5"/>
  <c r="ER55" i="5"/>
  <c r="EQ55" i="5"/>
  <c r="EP55" i="5"/>
  <c r="EO55" i="5"/>
  <c r="EN55" i="5"/>
  <c r="EM55" i="5"/>
  <c r="EL55" i="5"/>
  <c r="EK55" i="5"/>
  <c r="EJ55" i="5"/>
  <c r="EI55" i="5"/>
  <c r="EH55" i="5"/>
  <c r="EG55" i="5"/>
  <c r="EF55" i="5"/>
  <c r="EE55" i="5"/>
  <c r="ED55" i="5"/>
  <c r="EC55" i="5"/>
  <c r="EB55" i="5"/>
  <c r="EA55" i="5"/>
  <c r="DZ55" i="5"/>
  <c r="DY55" i="5"/>
  <c r="DX55" i="5"/>
  <c r="DW55" i="5"/>
  <c r="DV55" i="5"/>
  <c r="DU55" i="5"/>
  <c r="DT55" i="5"/>
  <c r="DS55" i="5"/>
  <c r="DR55" i="5"/>
  <c r="DQ55" i="5"/>
  <c r="DP55" i="5"/>
  <c r="DO55" i="5"/>
  <c r="DN55" i="5"/>
  <c r="DM55" i="5"/>
  <c r="DL55" i="5"/>
  <c r="DK55" i="5"/>
  <c r="DJ55" i="5"/>
  <c r="DI55" i="5"/>
  <c r="DH55" i="5"/>
  <c r="DG55" i="5"/>
  <c r="DF55" i="5"/>
  <c r="DE55" i="5"/>
  <c r="DD55" i="5"/>
  <c r="DC55" i="5"/>
  <c r="DB55" i="5"/>
  <c r="DA55" i="5"/>
  <c r="CZ55" i="5"/>
  <c r="CY55" i="5"/>
  <c r="CX55" i="5"/>
  <c r="CW55" i="5"/>
  <c r="CV55" i="5"/>
  <c r="CU55" i="5"/>
  <c r="CT55" i="5"/>
  <c r="CS55" i="5"/>
  <c r="CR55" i="5"/>
  <c r="CQ55" i="5"/>
  <c r="CP55" i="5"/>
  <c r="CO55" i="5"/>
  <c r="CN55" i="5"/>
  <c r="CM55" i="5"/>
  <c r="CL55" i="5"/>
  <c r="CK55" i="5"/>
  <c r="CJ55" i="5"/>
  <c r="CI55" i="5"/>
  <c r="CH55" i="5"/>
  <c r="CG55" i="5"/>
  <c r="CF55" i="5"/>
  <c r="CE55" i="5"/>
  <c r="CD55" i="5"/>
  <c r="CC55" i="5"/>
  <c r="CB55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V55" i="5"/>
  <c r="HV54" i="5"/>
  <c r="HU54" i="5"/>
  <c r="HT54" i="5"/>
  <c r="HS54" i="5"/>
  <c r="HR54" i="5"/>
  <c r="HQ54" i="5"/>
  <c r="HP54" i="5"/>
  <c r="HO54" i="5"/>
  <c r="HN54" i="5"/>
  <c r="HM54" i="5"/>
  <c r="HL54" i="5"/>
  <c r="HK54" i="5"/>
  <c r="HJ54" i="5"/>
  <c r="HI54" i="5"/>
  <c r="HH54" i="5"/>
  <c r="HG54" i="5"/>
  <c r="HF54" i="5"/>
  <c r="HE54" i="5"/>
  <c r="HD54" i="5"/>
  <c r="HC54" i="5"/>
  <c r="HB54" i="5"/>
  <c r="HA54" i="5"/>
  <c r="GZ54" i="5"/>
  <c r="GY54" i="5"/>
  <c r="GX54" i="5"/>
  <c r="GW54" i="5"/>
  <c r="GV54" i="5"/>
  <c r="GU54" i="5"/>
  <c r="GT54" i="5"/>
  <c r="GS54" i="5"/>
  <c r="GR54" i="5"/>
  <c r="GQ54" i="5"/>
  <c r="GP54" i="5"/>
  <c r="GO54" i="5"/>
  <c r="GN54" i="5"/>
  <c r="GM54" i="5"/>
  <c r="GL54" i="5"/>
  <c r="GK54" i="5"/>
  <c r="GJ54" i="5"/>
  <c r="GI54" i="5"/>
  <c r="GH54" i="5"/>
  <c r="GG54" i="5"/>
  <c r="GF54" i="5"/>
  <c r="GE54" i="5"/>
  <c r="GD54" i="5"/>
  <c r="GC54" i="5"/>
  <c r="GB54" i="5"/>
  <c r="GA54" i="5"/>
  <c r="FZ54" i="5"/>
  <c r="FY54" i="5"/>
  <c r="FX54" i="5"/>
  <c r="FW54" i="5"/>
  <c r="FV54" i="5"/>
  <c r="FU54" i="5"/>
  <c r="FT54" i="5"/>
  <c r="FS54" i="5"/>
  <c r="FR54" i="5"/>
  <c r="FQ54" i="5"/>
  <c r="FP54" i="5"/>
  <c r="FO54" i="5"/>
  <c r="FN54" i="5"/>
  <c r="FM54" i="5"/>
  <c r="FL54" i="5"/>
  <c r="FK54" i="5"/>
  <c r="FJ54" i="5"/>
  <c r="FI54" i="5"/>
  <c r="FH54" i="5"/>
  <c r="FG54" i="5"/>
  <c r="FF54" i="5"/>
  <c r="FE54" i="5"/>
  <c r="FD54" i="5"/>
  <c r="FC54" i="5"/>
  <c r="FB54" i="5"/>
  <c r="FA54" i="5"/>
  <c r="EZ54" i="5"/>
  <c r="EY54" i="5"/>
  <c r="EX54" i="5"/>
  <c r="EW54" i="5"/>
  <c r="EV54" i="5"/>
  <c r="EU54" i="5"/>
  <c r="ET54" i="5"/>
  <c r="ES54" i="5"/>
  <c r="ER54" i="5"/>
  <c r="EQ54" i="5"/>
  <c r="EP54" i="5"/>
  <c r="EO54" i="5"/>
  <c r="EN54" i="5"/>
  <c r="EM54" i="5"/>
  <c r="EL54" i="5"/>
  <c r="EK54" i="5"/>
  <c r="EJ54" i="5"/>
  <c r="EI54" i="5"/>
  <c r="EH54" i="5"/>
  <c r="EG54" i="5"/>
  <c r="EF54" i="5"/>
  <c r="EE54" i="5"/>
  <c r="ED54" i="5"/>
  <c r="EC54" i="5"/>
  <c r="EB54" i="5"/>
  <c r="EA54" i="5"/>
  <c r="DZ54" i="5"/>
  <c r="DY54" i="5"/>
  <c r="DX54" i="5"/>
  <c r="DW54" i="5"/>
  <c r="DV54" i="5"/>
  <c r="DU54" i="5"/>
  <c r="DT54" i="5"/>
  <c r="DS54" i="5"/>
  <c r="DR54" i="5"/>
  <c r="DQ54" i="5"/>
  <c r="DP54" i="5"/>
  <c r="DO54" i="5"/>
  <c r="DN54" i="5"/>
  <c r="DM54" i="5"/>
  <c r="DL54" i="5"/>
  <c r="DK54" i="5"/>
  <c r="DJ54" i="5"/>
  <c r="DI54" i="5"/>
  <c r="DH54" i="5"/>
  <c r="DG54" i="5"/>
  <c r="DF54" i="5"/>
  <c r="DE54" i="5"/>
  <c r="DD54" i="5"/>
  <c r="DC54" i="5"/>
  <c r="DB54" i="5"/>
  <c r="DA54" i="5"/>
  <c r="CZ54" i="5"/>
  <c r="CY54" i="5"/>
  <c r="CX54" i="5"/>
  <c r="CW54" i="5"/>
  <c r="CV54" i="5"/>
  <c r="CU54" i="5"/>
  <c r="CT54" i="5"/>
  <c r="CS54" i="5"/>
  <c r="CR54" i="5"/>
  <c r="CQ54" i="5"/>
  <c r="CP54" i="5"/>
  <c r="CO54" i="5"/>
  <c r="CN54" i="5"/>
  <c r="CM54" i="5"/>
  <c r="CL54" i="5"/>
  <c r="CK54" i="5"/>
  <c r="CJ54" i="5"/>
  <c r="CI54" i="5"/>
  <c r="CH54" i="5"/>
  <c r="CG54" i="5"/>
  <c r="CF54" i="5"/>
  <c r="CE54" i="5"/>
  <c r="CD54" i="5"/>
  <c r="CC54" i="5"/>
  <c r="CB54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V54" i="5"/>
  <c r="IO53" i="5"/>
  <c r="HV53" i="5"/>
  <c r="HC53" i="5"/>
  <c r="GJ53" i="5"/>
  <c r="FQ53" i="5"/>
  <c r="EX53" i="5"/>
  <c r="EE53" i="5"/>
  <c r="DL53" i="5"/>
  <c r="CS53" i="5"/>
  <c r="BZ53" i="5"/>
  <c r="BG53" i="5"/>
  <c r="AN53" i="5"/>
  <c r="U53" i="5"/>
  <c r="IO52" i="5"/>
  <c r="HV52" i="5"/>
  <c r="HC52" i="5"/>
  <c r="GJ52" i="5"/>
  <c r="FQ52" i="5"/>
  <c r="EX52" i="5"/>
  <c r="EE52" i="5"/>
  <c r="DL52" i="5"/>
  <c r="CS52" i="5"/>
  <c r="BZ52" i="5"/>
  <c r="BG52" i="5"/>
  <c r="AN52" i="5"/>
  <c r="U52" i="5"/>
  <c r="IO51" i="5"/>
  <c r="HV51" i="5"/>
  <c r="HC51" i="5"/>
  <c r="GJ51" i="5"/>
  <c r="FQ51" i="5"/>
  <c r="EX51" i="5"/>
  <c r="EE51" i="5"/>
  <c r="DL51" i="5"/>
  <c r="CS51" i="5"/>
  <c r="BZ51" i="5"/>
  <c r="BG51" i="5"/>
  <c r="AN51" i="5"/>
  <c r="U51" i="5"/>
  <c r="IO50" i="5"/>
  <c r="HV50" i="5"/>
  <c r="HC50" i="5"/>
  <c r="GJ50" i="5"/>
  <c r="FQ50" i="5"/>
  <c r="EX50" i="5"/>
  <c r="EE50" i="5"/>
  <c r="DL50" i="5"/>
  <c r="CS50" i="5"/>
  <c r="BZ50" i="5"/>
  <c r="BG50" i="5"/>
  <c r="AN50" i="5"/>
  <c r="U50" i="5"/>
  <c r="IO49" i="5"/>
  <c r="HV49" i="5"/>
  <c r="HC49" i="5"/>
  <c r="GJ49" i="5"/>
  <c r="FQ49" i="5"/>
  <c r="EX49" i="5"/>
  <c r="EE49" i="5"/>
  <c r="DL49" i="5"/>
  <c r="CS49" i="5"/>
  <c r="BZ49" i="5"/>
  <c r="BG49" i="5"/>
  <c r="AN49" i="5"/>
  <c r="U49" i="5"/>
  <c r="IO48" i="5"/>
  <c r="HV48" i="5"/>
  <c r="HC48" i="5"/>
  <c r="GJ48" i="5"/>
  <c r="FQ48" i="5"/>
  <c r="EX48" i="5"/>
  <c r="EE48" i="5"/>
  <c r="DL48" i="5"/>
  <c r="CS48" i="5"/>
  <c r="BZ48" i="5"/>
  <c r="BG48" i="5"/>
  <c r="AN48" i="5"/>
  <c r="U48" i="5"/>
  <c r="IO47" i="5"/>
  <c r="HV47" i="5"/>
  <c r="HC47" i="5"/>
  <c r="GJ47" i="5"/>
  <c r="FQ47" i="5"/>
  <c r="EX47" i="5"/>
  <c r="EE47" i="5"/>
  <c r="DL47" i="5"/>
  <c r="CS47" i="5"/>
  <c r="BZ47" i="5"/>
  <c r="BG47" i="5"/>
  <c r="AN47" i="5"/>
  <c r="U47" i="5"/>
  <c r="IO46" i="5"/>
  <c r="HV46" i="5"/>
  <c r="HC46" i="5"/>
  <c r="GJ46" i="5"/>
  <c r="FQ46" i="5"/>
  <c r="EX46" i="5"/>
  <c r="EE46" i="5"/>
  <c r="DL46" i="5"/>
  <c r="CS46" i="5"/>
  <c r="BZ46" i="5"/>
  <c r="BG46" i="5"/>
  <c r="AN46" i="5"/>
  <c r="U46" i="5"/>
  <c r="IO45" i="5"/>
  <c r="HV45" i="5"/>
  <c r="HC45" i="5"/>
  <c r="GJ45" i="5"/>
  <c r="FQ45" i="5"/>
  <c r="EX45" i="5"/>
  <c r="EE45" i="5"/>
  <c r="DL45" i="5"/>
  <c r="CS45" i="5"/>
  <c r="BZ45" i="5"/>
  <c r="BG45" i="5"/>
  <c r="AN45" i="5"/>
  <c r="U45" i="5"/>
  <c r="HW59" i="151" l="1"/>
  <c r="HW58" i="151"/>
  <c r="HW57" i="151"/>
  <c r="HW56" i="151"/>
  <c r="HW55" i="151"/>
  <c r="HW54" i="1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tc={E6AFD0F4-BA03-4FA6-9FD9-475AF1ECAD59}</author>
    <author>tc={10531CCA-A4B3-41B6-A043-F2EB7AA6CF3C}</author>
    <author>tc={D6E726B1-0A8D-4BED-A22B-73AC8CB75681}</author>
  </authors>
  <commentList>
    <comment ref="BH3" authorId="0" shapeId="0" xr:uid="{E6AFD0F4-BA03-4FA6-9FD9-475AF1ECAD5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자회사_45대삭제_167546</t>
      </text>
    </comment>
    <comment ref="B23" authorId="1" shapeId="0" xr:uid="{10531CCA-A4B3-41B6-A043-F2EB7AA6CF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팀 미배정 대수는 협력사 합계에 추가하기</t>
      </text>
    </comment>
    <comment ref="B26" authorId="2" shapeId="0" xr:uid="{D6E726B1-0A8D-4BED-A22B-73AC8CB7568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팀 미배정 대수는 협력사 합계에 추가하기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tc={18B7D56B-1868-48A1-A605-8DE474911F8E}</author>
    <author>tc={7FAA64F5-15B4-4F30-9867-EF69F727C603}</author>
  </authors>
  <commentList>
    <comment ref="B23" authorId="0" shapeId="0" xr:uid="{18B7D56B-1868-48A1-A605-8DE474911F8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팀 미배정 대수는 협력사 합계에 추가하기</t>
      </text>
    </comment>
    <comment ref="B26" authorId="1" shapeId="0" xr:uid="{7FAA64F5-15B4-4F30-9867-EF69F727C60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팀 미배정 대수는 협력사 합계에 추가하기</t>
      </text>
    </comment>
  </commentList>
</comments>
</file>

<file path=xl/sharedStrings.xml><?xml version="1.0" encoding="utf-8"?>
<sst xmlns="http://schemas.openxmlformats.org/spreadsheetml/2006/main" count="1531" uniqueCount="107">
  <si>
    <t>대수</t>
    <phoneticPr fontId="1" type="noConversion"/>
  </si>
  <si>
    <t>전환실패직영</t>
  </si>
  <si>
    <t>전환펜딩직영</t>
  </si>
  <si>
    <t>전환펜딩자회사</t>
  </si>
  <si>
    <t>유상직영Y</t>
  </si>
  <si>
    <t>유상자회사Y</t>
  </si>
  <si>
    <t>유상직영N</t>
  </si>
  <si>
    <t>유상자회사N</t>
  </si>
  <si>
    <t>전환실패협력</t>
  </si>
  <si>
    <t>전환펜딩협력사</t>
  </si>
  <si>
    <t>무상직영</t>
  </si>
  <si>
    <t>무상협력사</t>
  </si>
  <si>
    <t>무상자회사</t>
  </si>
  <si>
    <t>전환계약직영FM</t>
  </si>
  <si>
    <t>전환계약협력FM</t>
  </si>
  <si>
    <t>전환계약자회사FM</t>
  </si>
  <si>
    <t>회수직영FM</t>
  </si>
  <si>
    <t>회수협력FM</t>
  </si>
  <si>
    <t>회수자회사FM</t>
  </si>
  <si>
    <t>갱신실패직영FM</t>
  </si>
  <si>
    <t>갱신실패자회사FM</t>
  </si>
  <si>
    <t>전환계약직영POG</t>
  </si>
  <si>
    <t>전환계약협력POG</t>
  </si>
  <si>
    <t>전환계약자회사POG</t>
  </si>
  <si>
    <t>회수직영POG</t>
  </si>
  <si>
    <t>회수협력POG</t>
  </si>
  <si>
    <t>회수자회사POG</t>
  </si>
  <si>
    <t>갱신실패직영POG</t>
  </si>
  <si>
    <t>갱신실패협력POG</t>
  </si>
  <si>
    <t>갱신실패자회사POG</t>
  </si>
  <si>
    <t>전환실패자회사</t>
    <phoneticPr fontId="1" type="noConversion"/>
  </si>
  <si>
    <t>자회사</t>
  </si>
  <si>
    <t>직영</t>
  </si>
  <si>
    <t>갱신계약직영FM</t>
  </si>
  <si>
    <t>갱신계약자회사FM</t>
  </si>
  <si>
    <t>갱신계약직영POG</t>
  </si>
  <si>
    <t>갱신계약자회사POG</t>
  </si>
  <si>
    <t>기초유상직영Y</t>
    <phoneticPr fontId="1" type="noConversion"/>
  </si>
  <si>
    <t>기초유상협력사Y</t>
    <phoneticPr fontId="1" type="noConversion"/>
  </si>
  <si>
    <t>기초유상협력사N</t>
    <phoneticPr fontId="1" type="noConversion"/>
  </si>
  <si>
    <t>기초유상자회사Y</t>
    <phoneticPr fontId="1" type="noConversion"/>
  </si>
  <si>
    <t>기초유상자회사N</t>
    <phoneticPr fontId="1" type="noConversion"/>
  </si>
  <si>
    <t>출처</t>
    <phoneticPr fontId="1" type="noConversion"/>
  </si>
  <si>
    <t>계관월</t>
    <phoneticPr fontId="1" type="noConversion"/>
  </si>
  <si>
    <t>갱신계약협력FM</t>
  </si>
  <si>
    <t>갱신계약협력POG</t>
  </si>
  <si>
    <t>유상협력사N</t>
  </si>
  <si>
    <t>유상협력사Y</t>
  </si>
  <si>
    <t>계관월_자</t>
    <phoneticPr fontId="1" type="noConversion"/>
  </si>
  <si>
    <t>지관대_당월</t>
    <phoneticPr fontId="1" type="noConversion"/>
  </si>
  <si>
    <t>협력사</t>
  </si>
  <si>
    <t>갱신실패협력FM</t>
    <phoneticPr fontId="1" type="noConversion"/>
  </si>
  <si>
    <t>ES</t>
  </si>
  <si>
    <t>강남</t>
  </si>
  <si>
    <t>강북</t>
  </si>
  <si>
    <t>강서</t>
  </si>
  <si>
    <t>강원</t>
  </si>
  <si>
    <t>경남</t>
  </si>
  <si>
    <t>광주</t>
  </si>
  <si>
    <t>대구</t>
  </si>
  <si>
    <t>대전</t>
  </si>
  <si>
    <t>부산</t>
  </si>
  <si>
    <t>분당</t>
  </si>
  <si>
    <t>서울</t>
  </si>
  <si>
    <t>수원</t>
  </si>
  <si>
    <t>울산</t>
  </si>
  <si>
    <t>인천</t>
  </si>
  <si>
    <t>전주</t>
  </si>
  <si>
    <t>제주</t>
  </si>
  <si>
    <t>충청</t>
  </si>
  <si>
    <t>계약단가</t>
    <phoneticPr fontId="1" type="noConversion"/>
  </si>
  <si>
    <t>3월</t>
    <phoneticPr fontId="1" type="noConversion"/>
  </si>
  <si>
    <t>1월</t>
    <phoneticPr fontId="1" type="noConversion"/>
  </si>
  <si>
    <t>2월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</si>
  <si>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</si>
  <si>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</si>
  <si>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</si>
  <si>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</si>
  <si>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</si>
  <si>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</si>
  <si>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</si>
  <si>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</si>
  <si>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</si>
  <si>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계관월_자</t>
  </si>
  <si>
    <t>전환실패자회사</t>
  </si>
  <si>
    <t>본부</t>
  </si>
  <si>
    <t/>
  </si>
  <si>
    <t>13월</t>
    <phoneticPr fontId="1" type="noConversion"/>
  </si>
  <si>
    <t>기초유상직영N</t>
  </si>
  <si>
    <t>기초유상직영Y</t>
  </si>
  <si>
    <t>기초유상협력사N</t>
  </si>
  <si>
    <t>기초유상협력사Y</t>
  </si>
  <si>
    <t>14월</t>
    <phoneticPr fontId="1" type="noConversion"/>
  </si>
  <si>
    <t>갱신펜딩직영</t>
    <phoneticPr fontId="1" type="noConversion"/>
  </si>
  <si>
    <t>갱신펜딩협력사</t>
    <phoneticPr fontId="1" type="noConversion"/>
  </si>
  <si>
    <t>갱신펜딩자회사</t>
    <phoneticPr fontId="1" type="noConversion"/>
  </si>
  <si>
    <t>갱신펜딩실패자회사</t>
  </si>
  <si>
    <t>갱신펜딩실패직영</t>
  </si>
  <si>
    <t>갱신펜딩실패협력사</t>
  </si>
  <si>
    <t>전환펜딩실패직영</t>
  </si>
  <si>
    <t>전환펜딩실패협력사</t>
  </si>
  <si>
    <t>전환펜딩실패자회사</t>
  </si>
  <si>
    <t>갱신계약협력POG</t>
    <phoneticPr fontId="1" type="noConversion"/>
  </si>
  <si>
    <t>갱신실패자회사POG</t>
    <phoneticPr fontId="1" type="noConversion"/>
  </si>
  <si>
    <t>회수자회사FM</t>
    <phoneticPr fontId="1" type="noConversion"/>
  </si>
  <si>
    <t>`</t>
    <phoneticPr fontId="1" type="noConversion"/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</si>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</sst>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0" fillId="4" borderId="0" xfId="0" applyFill="1">
      <alignment vertical="center"/>
    </xf>
    <xf numFmtId="41" fontId="0" fillId="4" borderId="0" xfId="0" applyNumberFormat="1" applyFill="1">
      <alignment vertical="center"/>
    </xf>
    <xf numFmtId="0" fontId="0" fillId="3" borderId="0" xfId="0" applyFill="1">
      <alignment vertical="center"/>
    </xf>
    <xf numFmtId="41" fontId="0" fillId="3" borderId="0" xfId="1" applyFont="1" applyFill="1">
      <alignment vertical="center"/>
    </xf>
    <xf numFmtId="41" fontId="0" fillId="3" borderId="0" xfId="0" applyNumberFormat="1" applyFill="1">
      <alignment vertical="center"/>
    </xf>
    <xf numFmtId="41" fontId="0" fillId="4" borderId="0" xfId="1" applyFont="1" applyFill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권혁준/KWON HYUK JOON" id="{0710DC87-8566-40D4-85FF-7E58F6C9F7A3}" userId="S::hj.kwon1@hdel.co.kr::66c4d064-451c-48c1-bf09-a2630c5e8a7a" providerId="AD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H3" dT="2026-05-13T00:14:14.70" personId="{0710DC87-8566-40D4-85FF-7E58F6C9F7A3}" id="{E6AFD0F4-BA03-4FA6-9FD9-475AF1ECAD59}">
    <text>자회사_45대삭제_167546</text>
  </threadedComment>
  <threadedComment ref="B23" dT="2026-03-17T00:24:23.29" personId="{0710DC87-8566-40D4-85FF-7E58F6C9F7A3}" id="{10531CCA-A4B3-41B6-A043-F2EB7AA6CF3C}">
    <text>팀 미배정 대수는 협력사 합계에 추가하기</text>
  </threadedComment>
  <threadedComment ref="B26" dT="2026-03-17T00:24:53.28" personId="{0710DC87-8566-40D4-85FF-7E58F6C9F7A3}" id="{D6E726B1-0A8D-4BED-A22B-73AC8CB75681}">
    <text>팀 미배정 대수는 협력사 합계에 추가하기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3" dT="2026-03-17T00:24:23.29" personId="{0710DC87-8566-40D4-85FF-7E58F6C9F7A3}" id="{18B7D56B-1868-48A1-A605-8DE474911F8E}">
    <text>팀 미배정 대수는 협력사 합계에 추가하기</text>
  </threadedComment>
  <threadedComment ref="B26" dT="2026-03-17T00:24:53.28" personId="{0710DC87-8566-40D4-85FF-7E58F6C9F7A3}" id="{7FAA64F5-15B4-4F30-9867-EF69F727C603}">
    <text>팀 미배정 대수는 협력사 합계에 추가하기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95EC5-6DDF-4C3C-AE26-CBADACFBC907}">
  <sheetPr codeName="Sheet3"/>
  <dimension ref="A1:IO59"/>
  <sheetViews>
    <sheetView tabSelected="1" zoomScale="85" zoomScaleNormal="85" workbookViewId="0">
      <pane xSplit="2" ySplit="2" topLeftCell="AN3" activePane="bottomRight" state="frozen"/>
      <selection activeCell="C1" sqref="C1:C4"/>
      <selection pane="topRight" activeCell="C1" sqref="C1:C4"/>
      <selection pane="bottomLeft" activeCell="C1" sqref="C1:C4"/>
      <selection pane="bottomRight" activeCell="GJ11" sqref="GJ11"/>
    </sheetView>
  </sheetViews>
  <sheetFormatPr defaultRowHeight="17.399999999999999" outlineLevelCol="1" x14ac:dyDescent="0.4"/>
  <cols>
    <col min="1" max="1" width="11.69921875" bestFit="1" customWidth="1"/>
    <col min="2" max="2" width="19.5" bestFit="1" customWidth="1"/>
    <col min="3" max="20" width="8.69921875" hidden="1" customWidth="1" outlineLevel="1"/>
    <col min="21" max="21" width="8.796875" style="4" collapsed="1"/>
    <col min="22" max="39" width="8.69921875" hidden="1" customWidth="1" outlineLevel="1"/>
    <col min="40" max="40" width="8.69921875" style="4" collapsed="1"/>
    <col min="41" max="58" width="8.69921875" hidden="1" customWidth="1" outlineLevel="1"/>
    <col min="59" max="59" width="8.69921875" style="4" collapsed="1"/>
    <col min="60" max="77" width="8.69921875" hidden="1" customWidth="1" outlineLevel="1"/>
    <col min="78" max="78" width="8.69921875" style="4" collapsed="1"/>
    <col min="79" max="84" width="8.796875" hidden="1" customWidth="1" outlineLevel="1"/>
    <col min="85" max="85" width="8.796875" hidden="1" customWidth="1" outlineLevel="1" collapsed="1"/>
    <col min="86" max="96" width="8.796875" hidden="1" customWidth="1" outlineLevel="1"/>
    <col min="97" max="97" width="8.69921875" style="4" customWidth="1" collapsed="1"/>
    <col min="98" max="115" width="8.796875" hidden="1" customWidth="1" outlineLevel="1"/>
    <col min="116" max="116" width="8.69921875" style="4" collapsed="1"/>
    <col min="117" max="134" width="8.796875" hidden="1" customWidth="1" outlineLevel="1"/>
    <col min="135" max="135" width="8.69921875" style="4" collapsed="1"/>
    <col min="136" max="153" width="8.796875" hidden="1" customWidth="1" outlineLevel="1"/>
    <col min="154" max="154" width="8.69921875" style="4" collapsed="1"/>
    <col min="155" max="172" width="8.796875" hidden="1" customWidth="1" outlineLevel="1"/>
    <col min="173" max="173" width="8.69921875" style="4" collapsed="1"/>
    <col min="174" max="191" width="8.796875" hidden="1" customWidth="1" outlineLevel="1"/>
    <col min="192" max="192" width="8.69921875" style="4" collapsed="1"/>
    <col min="193" max="210" width="8.796875" hidden="1" customWidth="1" outlineLevel="1"/>
    <col min="211" max="211" width="8.69921875" style="4" collapsed="1"/>
    <col min="212" max="229" width="8.796875" hidden="1" customWidth="1" outlineLevel="1"/>
    <col min="230" max="230" width="8.69921875" style="4" collapsed="1"/>
    <col min="231" max="248" width="8.69921875" customWidth="1" outlineLevel="1"/>
  </cols>
  <sheetData>
    <row r="1" spans="1:249" x14ac:dyDescent="0.4">
      <c r="C1" t="s">
        <v>72</v>
      </c>
      <c r="U1" s="4" t="s">
        <v>72</v>
      </c>
      <c r="V1" t="s">
        <v>73</v>
      </c>
      <c r="AN1" s="4" t="s">
        <v>73</v>
      </c>
      <c r="AO1" t="s">
        <v>71</v>
      </c>
      <c r="AP1" t="s">
        <v>71</v>
      </c>
      <c r="AQ1" t="s">
        <v>71</v>
      </c>
      <c r="AR1" t="s">
        <v>71</v>
      </c>
      <c r="AS1" t="s">
        <v>71</v>
      </c>
      <c r="AT1" t="s">
        <v>71</v>
      </c>
      <c r="AU1" t="s">
        <v>71</v>
      </c>
      <c r="AV1" t="s">
        <v>71</v>
      </c>
      <c r="AW1" t="s">
        <v>71</v>
      </c>
      <c r="AX1" t="s">
        <v>71</v>
      </c>
      <c r="AY1" t="s">
        <v>71</v>
      </c>
      <c r="AZ1" t="s">
        <v>71</v>
      </c>
      <c r="BA1" t="s">
        <v>71</v>
      </c>
      <c r="BB1" t="s">
        <v>71</v>
      </c>
      <c r="BC1" t="s">
        <v>71</v>
      </c>
      <c r="BD1" t="s">
        <v>71</v>
      </c>
      <c r="BE1" t="s">
        <v>71</v>
      </c>
      <c r="BF1" t="s">
        <v>71</v>
      </c>
      <c r="BG1" s="4" t="s">
        <v>71</v>
      </c>
      <c r="BH1" t="s">
        <v>74</v>
      </c>
      <c r="BZ1" s="4" t="s">
        <v>74</v>
      </c>
      <c r="CA1" t="s">
        <v>75</v>
      </c>
      <c r="CS1" s="4" t="s">
        <v>75</v>
      </c>
      <c r="CT1" t="s">
        <v>76</v>
      </c>
      <c r="DL1" s="4" t="s">
        <v>76</v>
      </c>
      <c r="DM1" t="s">
        <v>77</v>
      </c>
      <c r="EE1" s="4" t="s">
        <v>77</v>
      </c>
      <c r="EF1" t="s">
        <v>78</v>
      </c>
      <c r="EX1" s="4" t="s">
        <v>78</v>
      </c>
      <c r="EY1" t="s">
        <v>79</v>
      </c>
      <c r="FQ1" s="4" t="s">
        <v>79</v>
      </c>
      <c r="FR1" t="s">
        <v>80</v>
      </c>
      <c r="GJ1" s="4" t="s">
        <v>80</v>
      </c>
      <c r="GK1" t="s">
        <v>81</v>
      </c>
      <c r="HC1" s="4" t="s">
        <v>81</v>
      </c>
      <c r="HD1" t="s">
        <v>82</v>
      </c>
      <c r="HV1" s="4" t="s">
        <v>82</v>
      </c>
      <c r="HW1" t="s">
        <v>87</v>
      </c>
      <c r="IO1" t="s">
        <v>87</v>
      </c>
    </row>
    <row r="2" spans="1:249" x14ac:dyDescent="0.4">
      <c r="A2" t="s">
        <v>42</v>
      </c>
      <c r="B2" s="3" t="s">
        <v>0</v>
      </c>
      <c r="C2" t="s">
        <v>31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s="5" t="s">
        <v>85</v>
      </c>
      <c r="V2" t="s">
        <v>31</v>
      </c>
      <c r="W2" t="s">
        <v>52</v>
      </c>
      <c r="X2" t="s">
        <v>53</v>
      </c>
      <c r="Y2" t="s">
        <v>54</v>
      </c>
      <c r="Z2" t="s">
        <v>55</v>
      </c>
      <c r="AA2" t="s">
        <v>56</v>
      </c>
      <c r="AB2" t="s">
        <v>57</v>
      </c>
      <c r="AC2" t="s">
        <v>58</v>
      </c>
      <c r="AD2" t="s">
        <v>59</v>
      </c>
      <c r="AE2" t="s">
        <v>60</v>
      </c>
      <c r="AF2" t="s">
        <v>61</v>
      </c>
      <c r="AG2" t="s">
        <v>62</v>
      </c>
      <c r="AH2" t="s">
        <v>64</v>
      </c>
      <c r="AI2" t="s">
        <v>65</v>
      </c>
      <c r="AJ2" t="s">
        <v>66</v>
      </c>
      <c r="AK2" t="s">
        <v>67</v>
      </c>
      <c r="AL2" t="s">
        <v>68</v>
      </c>
      <c r="AM2" t="s">
        <v>69</v>
      </c>
      <c r="AN2" s="5" t="s">
        <v>85</v>
      </c>
      <c r="AO2" t="s">
        <v>31</v>
      </c>
      <c r="AP2" t="s">
        <v>52</v>
      </c>
      <c r="AQ2" t="s">
        <v>53</v>
      </c>
      <c r="AR2" t="s">
        <v>54</v>
      </c>
      <c r="AS2" t="s">
        <v>55</v>
      </c>
      <c r="AT2" t="s">
        <v>56</v>
      </c>
      <c r="AU2" t="s">
        <v>57</v>
      </c>
      <c r="AV2" t="s">
        <v>58</v>
      </c>
      <c r="AW2" t="s">
        <v>59</v>
      </c>
      <c r="AX2" t="s">
        <v>60</v>
      </c>
      <c r="AY2" t="s">
        <v>61</v>
      </c>
      <c r="AZ2" t="s">
        <v>62</v>
      </c>
      <c r="BA2" t="s">
        <v>64</v>
      </c>
      <c r="BB2" t="s">
        <v>65</v>
      </c>
      <c r="BC2" t="s">
        <v>66</v>
      </c>
      <c r="BD2" t="s">
        <v>67</v>
      </c>
      <c r="BE2" t="s">
        <v>68</v>
      </c>
      <c r="BF2" t="s">
        <v>69</v>
      </c>
      <c r="BG2" s="5" t="s">
        <v>85</v>
      </c>
      <c r="BH2" t="s">
        <v>31</v>
      </c>
      <c r="BI2" t="s">
        <v>52</v>
      </c>
      <c r="BJ2" t="s">
        <v>53</v>
      </c>
      <c r="BK2" t="s">
        <v>54</v>
      </c>
      <c r="BL2" t="s">
        <v>55</v>
      </c>
      <c r="BM2" t="s">
        <v>56</v>
      </c>
      <c r="BN2" t="s">
        <v>57</v>
      </c>
      <c r="BO2" t="s">
        <v>58</v>
      </c>
      <c r="BP2" t="s">
        <v>59</v>
      </c>
      <c r="BQ2" t="s">
        <v>60</v>
      </c>
      <c r="BR2" t="s">
        <v>61</v>
      </c>
      <c r="BS2" t="s">
        <v>62</v>
      </c>
      <c r="BT2" t="s">
        <v>64</v>
      </c>
      <c r="BU2" t="s">
        <v>65</v>
      </c>
      <c r="BV2" t="s">
        <v>66</v>
      </c>
      <c r="BW2" t="s">
        <v>67</v>
      </c>
      <c r="BX2" t="s">
        <v>68</v>
      </c>
      <c r="BY2" t="s">
        <v>69</v>
      </c>
      <c r="BZ2" s="5" t="s">
        <v>85</v>
      </c>
      <c r="CA2" t="s">
        <v>31</v>
      </c>
      <c r="CB2" t="s">
        <v>52</v>
      </c>
      <c r="CC2" t="s">
        <v>53</v>
      </c>
      <c r="CD2" t="s">
        <v>54</v>
      </c>
      <c r="CE2" t="s">
        <v>55</v>
      </c>
      <c r="CF2" t="s">
        <v>56</v>
      </c>
      <c r="CG2" t="s">
        <v>57</v>
      </c>
      <c r="CH2" t="s">
        <v>58</v>
      </c>
      <c r="CI2" t="s">
        <v>59</v>
      </c>
      <c r="CJ2" t="s">
        <v>60</v>
      </c>
      <c r="CK2" t="s">
        <v>61</v>
      </c>
      <c r="CL2" t="s">
        <v>62</v>
      </c>
      <c r="CM2" t="s">
        <v>64</v>
      </c>
      <c r="CN2" t="s">
        <v>65</v>
      </c>
      <c r="CO2" t="s">
        <v>66</v>
      </c>
      <c r="CP2" t="s">
        <v>67</v>
      </c>
      <c r="CQ2" t="s">
        <v>68</v>
      </c>
      <c r="CR2" t="s">
        <v>69</v>
      </c>
      <c r="CS2" s="5" t="s">
        <v>85</v>
      </c>
      <c r="CT2" t="s">
        <v>31</v>
      </c>
      <c r="CU2" t="s">
        <v>52</v>
      </c>
      <c r="CV2" t="s">
        <v>53</v>
      </c>
      <c r="CW2" t="s">
        <v>54</v>
      </c>
      <c r="CX2" t="s">
        <v>55</v>
      </c>
      <c r="CY2" t="s">
        <v>56</v>
      </c>
      <c r="CZ2" t="s">
        <v>57</v>
      </c>
      <c r="DA2" t="s">
        <v>58</v>
      </c>
      <c r="DB2" t="s">
        <v>59</v>
      </c>
      <c r="DC2" t="s">
        <v>60</v>
      </c>
      <c r="DD2" t="s">
        <v>61</v>
      </c>
      <c r="DE2" t="s">
        <v>62</v>
      </c>
      <c r="DF2" t="s">
        <v>64</v>
      </c>
      <c r="DG2" t="s">
        <v>65</v>
      </c>
      <c r="DH2" t="s">
        <v>66</v>
      </c>
      <c r="DI2" t="s">
        <v>67</v>
      </c>
      <c r="DJ2" t="s">
        <v>68</v>
      </c>
      <c r="DK2" t="s">
        <v>69</v>
      </c>
      <c r="DL2" s="5" t="s">
        <v>85</v>
      </c>
      <c r="DM2" t="s">
        <v>31</v>
      </c>
      <c r="DN2" t="s">
        <v>52</v>
      </c>
      <c r="DO2" t="s">
        <v>53</v>
      </c>
      <c r="DP2" t="s">
        <v>54</v>
      </c>
      <c r="DQ2" t="s">
        <v>55</v>
      </c>
      <c r="DR2" t="s">
        <v>56</v>
      </c>
      <c r="DS2" t="s">
        <v>57</v>
      </c>
      <c r="DT2" t="s">
        <v>58</v>
      </c>
      <c r="DU2" t="s">
        <v>59</v>
      </c>
      <c r="DV2" t="s">
        <v>60</v>
      </c>
      <c r="DW2" t="s">
        <v>61</v>
      </c>
      <c r="DX2" t="s">
        <v>62</v>
      </c>
      <c r="DY2" t="s">
        <v>64</v>
      </c>
      <c r="DZ2" t="s">
        <v>65</v>
      </c>
      <c r="EA2" t="s">
        <v>66</v>
      </c>
      <c r="EB2" t="s">
        <v>67</v>
      </c>
      <c r="EC2" t="s">
        <v>68</v>
      </c>
      <c r="ED2" t="s">
        <v>69</v>
      </c>
      <c r="EE2" s="5" t="s">
        <v>85</v>
      </c>
      <c r="EF2" t="s">
        <v>31</v>
      </c>
      <c r="EG2" t="s">
        <v>52</v>
      </c>
      <c r="EH2" t="s">
        <v>53</v>
      </c>
      <c r="EI2" t="s">
        <v>54</v>
      </c>
      <c r="EJ2" t="s">
        <v>55</v>
      </c>
      <c r="EK2" t="s">
        <v>56</v>
      </c>
      <c r="EL2" t="s">
        <v>57</v>
      </c>
      <c r="EM2" t="s">
        <v>58</v>
      </c>
      <c r="EN2" t="s">
        <v>59</v>
      </c>
      <c r="EO2" t="s">
        <v>60</v>
      </c>
      <c r="EP2" t="s">
        <v>61</v>
      </c>
      <c r="EQ2" t="s">
        <v>62</v>
      </c>
      <c r="ER2" t="s">
        <v>64</v>
      </c>
      <c r="ES2" t="s">
        <v>65</v>
      </c>
      <c r="ET2" t="s">
        <v>66</v>
      </c>
      <c r="EU2" t="s">
        <v>67</v>
      </c>
      <c r="EV2" t="s">
        <v>68</v>
      </c>
      <c r="EW2" t="s">
        <v>69</v>
      </c>
      <c r="EX2" s="5" t="s">
        <v>85</v>
      </c>
      <c r="EY2" t="s">
        <v>31</v>
      </c>
      <c r="EZ2" t="s">
        <v>52</v>
      </c>
      <c r="FA2" t="s">
        <v>53</v>
      </c>
      <c r="FB2" t="s">
        <v>54</v>
      </c>
      <c r="FC2" t="s">
        <v>55</v>
      </c>
      <c r="FD2" t="s">
        <v>56</v>
      </c>
      <c r="FE2" t="s">
        <v>57</v>
      </c>
      <c r="FF2" t="s">
        <v>58</v>
      </c>
      <c r="FG2" t="s">
        <v>59</v>
      </c>
      <c r="FH2" t="s">
        <v>60</v>
      </c>
      <c r="FI2" t="s">
        <v>61</v>
      </c>
      <c r="FJ2" t="s">
        <v>62</v>
      </c>
      <c r="FK2" t="s">
        <v>64</v>
      </c>
      <c r="FL2" t="s">
        <v>65</v>
      </c>
      <c r="FM2" t="s">
        <v>66</v>
      </c>
      <c r="FN2" t="s">
        <v>67</v>
      </c>
      <c r="FO2" t="s">
        <v>68</v>
      </c>
      <c r="FP2" t="s">
        <v>69</v>
      </c>
      <c r="FQ2" s="5" t="s">
        <v>85</v>
      </c>
      <c r="FR2" t="s">
        <v>31</v>
      </c>
      <c r="FS2" t="s">
        <v>52</v>
      </c>
      <c r="FT2" t="s">
        <v>53</v>
      </c>
      <c r="FU2" t="s">
        <v>54</v>
      </c>
      <c r="FV2" t="s">
        <v>55</v>
      </c>
      <c r="FW2" t="s">
        <v>56</v>
      </c>
      <c r="FX2" t="s">
        <v>57</v>
      </c>
      <c r="FY2" t="s">
        <v>58</v>
      </c>
      <c r="FZ2" t="s">
        <v>59</v>
      </c>
      <c r="GA2" t="s">
        <v>60</v>
      </c>
      <c r="GB2" t="s">
        <v>61</v>
      </c>
      <c r="GC2" t="s">
        <v>62</v>
      </c>
      <c r="GD2" t="s">
        <v>64</v>
      </c>
      <c r="GE2" t="s">
        <v>65</v>
      </c>
      <c r="GF2" t="s">
        <v>66</v>
      </c>
      <c r="GG2" t="s">
        <v>67</v>
      </c>
      <c r="GH2" t="s">
        <v>68</v>
      </c>
      <c r="GI2" t="s">
        <v>69</v>
      </c>
      <c r="GJ2" s="5" t="s">
        <v>85</v>
      </c>
      <c r="GK2" t="s">
        <v>31</v>
      </c>
      <c r="GL2" t="s">
        <v>52</v>
      </c>
      <c r="GM2" t="s">
        <v>53</v>
      </c>
      <c r="GN2" t="s">
        <v>54</v>
      </c>
      <c r="GO2" t="s">
        <v>55</v>
      </c>
      <c r="GP2" t="s">
        <v>56</v>
      </c>
      <c r="GQ2" t="s">
        <v>57</v>
      </c>
      <c r="GR2" t="s">
        <v>58</v>
      </c>
      <c r="GS2" t="s">
        <v>59</v>
      </c>
      <c r="GT2" t="s">
        <v>60</v>
      </c>
      <c r="GU2" t="s">
        <v>61</v>
      </c>
      <c r="GV2" t="s">
        <v>62</v>
      </c>
      <c r="GW2" t="s">
        <v>64</v>
      </c>
      <c r="GX2" t="s">
        <v>65</v>
      </c>
      <c r="GY2" t="s">
        <v>66</v>
      </c>
      <c r="GZ2" t="s">
        <v>67</v>
      </c>
      <c r="HA2" t="s">
        <v>68</v>
      </c>
      <c r="HB2" t="s">
        <v>69</v>
      </c>
      <c r="HC2" s="5" t="s">
        <v>85</v>
      </c>
      <c r="HD2" t="s">
        <v>31</v>
      </c>
      <c r="HE2" t="s">
        <v>52</v>
      </c>
      <c r="HF2" t="s">
        <v>53</v>
      </c>
      <c r="HG2" t="s">
        <v>54</v>
      </c>
      <c r="HH2" t="s">
        <v>55</v>
      </c>
      <c r="HI2" t="s">
        <v>56</v>
      </c>
      <c r="HJ2" t="s">
        <v>57</v>
      </c>
      <c r="HK2" t="s">
        <v>58</v>
      </c>
      <c r="HL2" t="s">
        <v>59</v>
      </c>
      <c r="HM2" t="s">
        <v>60</v>
      </c>
      <c r="HN2" t="s">
        <v>61</v>
      </c>
      <c r="HO2" t="s">
        <v>62</v>
      </c>
      <c r="HP2" t="s">
        <v>64</v>
      </c>
      <c r="HQ2" t="s">
        <v>65</v>
      </c>
      <c r="HR2" t="s">
        <v>66</v>
      </c>
      <c r="HS2" t="s">
        <v>67</v>
      </c>
      <c r="HT2" t="s">
        <v>68</v>
      </c>
      <c r="HU2" t="s">
        <v>69</v>
      </c>
      <c r="HV2" s="5" t="s">
        <v>85</v>
      </c>
      <c r="HW2" t="s">
        <v>31</v>
      </c>
      <c r="HX2" t="s">
        <v>52</v>
      </c>
      <c r="HY2" t="s">
        <v>53</v>
      </c>
      <c r="HZ2" t="s">
        <v>54</v>
      </c>
      <c r="IA2" t="s">
        <v>55</v>
      </c>
      <c r="IB2" t="s">
        <v>56</v>
      </c>
      <c r="IC2" t="s">
        <v>57</v>
      </c>
      <c r="ID2" t="s">
        <v>58</v>
      </c>
      <c r="IE2" t="s">
        <v>59</v>
      </c>
      <c r="IF2" t="s">
        <v>60</v>
      </c>
      <c r="IG2" t="s">
        <v>61</v>
      </c>
      <c r="IH2" t="s">
        <v>62</v>
      </c>
      <c r="II2" t="s">
        <v>64</v>
      </c>
      <c r="IJ2" t="s">
        <v>65</v>
      </c>
      <c r="IK2" t="s">
        <v>66</v>
      </c>
      <c r="IL2" t="s">
        <v>67</v>
      </c>
      <c r="IM2" t="s">
        <v>68</v>
      </c>
      <c r="IN2" t="s">
        <v>69</v>
      </c>
      <c r="IO2" s="5" t="s">
        <v>85</v>
      </c>
    </row>
    <row r="3" spans="1:249" s="6" customFormat="1" x14ac:dyDescent="0.4">
      <c r="A3" s="6" t="s">
        <v>49</v>
      </c>
      <c r="B3" s="6" t="s">
        <v>95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5">
        <v>0</v>
      </c>
      <c r="V3" s="8">
        <v>1</v>
      </c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5">
        <v>1</v>
      </c>
      <c r="AO3" s="8">
        <v>1</v>
      </c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5">
        <v>1</v>
      </c>
      <c r="BH3" s="8">
        <v>0</v>
      </c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5">
        <v>0</v>
      </c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5">
        <v>0</v>
      </c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5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5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5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5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5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5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5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</row>
    <row r="4" spans="1:249" x14ac:dyDescent="0.4">
      <c r="A4" t="s">
        <v>49</v>
      </c>
      <c r="B4" t="s">
        <v>93</v>
      </c>
      <c r="C4" s="2"/>
      <c r="D4" s="2"/>
      <c r="E4" s="2"/>
      <c r="F4" s="2">
        <v>9</v>
      </c>
      <c r="G4" s="2">
        <v>26</v>
      </c>
      <c r="H4" s="2">
        <v>6</v>
      </c>
      <c r="I4" s="2"/>
      <c r="J4" s="2"/>
      <c r="K4" s="2"/>
      <c r="L4" s="2"/>
      <c r="M4" s="2"/>
      <c r="N4" s="2">
        <v>5</v>
      </c>
      <c r="O4" s="2"/>
      <c r="P4" s="2">
        <v>7</v>
      </c>
      <c r="Q4" s="2"/>
      <c r="R4" s="2"/>
      <c r="S4" s="2"/>
      <c r="T4" s="2"/>
      <c r="U4" s="5">
        <v>53</v>
      </c>
      <c r="V4" s="2"/>
      <c r="W4" s="2"/>
      <c r="X4" s="2"/>
      <c r="Y4" s="2">
        <v>11</v>
      </c>
      <c r="Z4" s="2">
        <v>37</v>
      </c>
      <c r="AA4" s="2">
        <v>9</v>
      </c>
      <c r="AB4" s="2">
        <v>6</v>
      </c>
      <c r="AC4" s="2"/>
      <c r="AD4" s="2"/>
      <c r="AE4" s="2"/>
      <c r="AF4" s="2"/>
      <c r="AG4" s="2">
        <v>5</v>
      </c>
      <c r="AH4" s="2"/>
      <c r="AI4" s="2">
        <v>2</v>
      </c>
      <c r="AJ4" s="2">
        <v>1</v>
      </c>
      <c r="AK4" s="2">
        <v>2</v>
      </c>
      <c r="AL4" s="2"/>
      <c r="AM4" s="2"/>
      <c r="AN4" s="5">
        <v>73</v>
      </c>
      <c r="AO4" s="2"/>
      <c r="AP4" s="2"/>
      <c r="AQ4" s="2"/>
      <c r="AR4" s="2">
        <v>3</v>
      </c>
      <c r="AS4" s="2">
        <v>30</v>
      </c>
      <c r="AT4" s="2">
        <v>14</v>
      </c>
      <c r="AU4" s="2"/>
      <c r="AV4" s="2">
        <v>1</v>
      </c>
      <c r="AW4" s="2"/>
      <c r="AX4" s="2">
        <v>10</v>
      </c>
      <c r="AY4" s="2">
        <v>1</v>
      </c>
      <c r="AZ4" s="2">
        <v>65</v>
      </c>
      <c r="BA4" s="2">
        <v>10</v>
      </c>
      <c r="BB4" s="2"/>
      <c r="BC4" s="2"/>
      <c r="BD4" s="2"/>
      <c r="BE4" s="2"/>
      <c r="BF4" s="2"/>
      <c r="BG4" s="5">
        <v>134</v>
      </c>
      <c r="BH4" s="2"/>
      <c r="BI4" s="2"/>
      <c r="BJ4" s="2">
        <v>26</v>
      </c>
      <c r="BK4" s="2">
        <v>5</v>
      </c>
      <c r="BL4" s="2">
        <v>19</v>
      </c>
      <c r="BM4" s="2">
        <v>6</v>
      </c>
      <c r="BN4" s="2"/>
      <c r="BO4" s="2">
        <v>9</v>
      </c>
      <c r="BP4" s="2"/>
      <c r="BQ4" s="2">
        <v>3</v>
      </c>
      <c r="BR4" s="2">
        <v>1</v>
      </c>
      <c r="BS4" s="2">
        <v>26</v>
      </c>
      <c r="BT4" s="2">
        <v>5</v>
      </c>
      <c r="BU4" s="2"/>
      <c r="BV4" s="2"/>
      <c r="BW4" s="2"/>
      <c r="BX4" s="2"/>
      <c r="BY4" s="2">
        <v>1</v>
      </c>
      <c r="BZ4" s="5">
        <v>101</v>
      </c>
      <c r="CA4" s="2"/>
      <c r="CB4" s="2"/>
      <c r="CC4" s="2">
        <v>2</v>
      </c>
      <c r="CD4" s="2">
        <v>9</v>
      </c>
      <c r="CE4" s="2">
        <v>3</v>
      </c>
      <c r="CF4" s="2">
        <v>5</v>
      </c>
      <c r="CG4" s="2"/>
      <c r="CH4" s="2"/>
      <c r="CI4" s="2"/>
      <c r="CJ4" s="2">
        <v>45</v>
      </c>
      <c r="CK4" s="2"/>
      <c r="CL4" s="2">
        <v>2</v>
      </c>
      <c r="CM4" s="2"/>
      <c r="CN4" s="2">
        <v>1</v>
      </c>
      <c r="CO4" s="2"/>
      <c r="CP4" s="2"/>
      <c r="CQ4" s="2"/>
      <c r="CR4" s="2"/>
      <c r="CS4" s="5">
        <v>67</v>
      </c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5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5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5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5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5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5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5"/>
      <c r="HW4" s="2"/>
      <c r="HX4" s="2"/>
      <c r="HY4" s="2"/>
      <c r="HZ4" s="2">
        <v>4</v>
      </c>
      <c r="IA4" s="2">
        <v>6</v>
      </c>
      <c r="IB4" s="2">
        <v>5</v>
      </c>
      <c r="IC4" s="2"/>
      <c r="ID4" s="2">
        <v>2</v>
      </c>
      <c r="IE4" s="2"/>
      <c r="IF4" s="2"/>
      <c r="IG4" s="2">
        <v>5</v>
      </c>
      <c r="IH4" s="2">
        <v>3</v>
      </c>
      <c r="II4" s="2"/>
      <c r="IJ4" s="2">
        <v>5</v>
      </c>
      <c r="IK4" s="2"/>
      <c r="IL4" s="2">
        <v>1</v>
      </c>
      <c r="IM4" s="2"/>
      <c r="IN4" s="2">
        <v>4</v>
      </c>
      <c r="IO4" s="2">
        <v>35</v>
      </c>
    </row>
    <row r="5" spans="1:249" x14ac:dyDescent="0.4">
      <c r="A5" t="s">
        <v>49</v>
      </c>
      <c r="B5" t="s">
        <v>94</v>
      </c>
      <c r="C5" s="2"/>
      <c r="D5" s="2"/>
      <c r="E5" s="2"/>
      <c r="F5" s="2">
        <v>57</v>
      </c>
      <c r="G5" s="2">
        <v>8</v>
      </c>
      <c r="H5" s="2">
        <v>4</v>
      </c>
      <c r="I5" s="2">
        <v>1</v>
      </c>
      <c r="J5" s="2">
        <v>1</v>
      </c>
      <c r="K5" s="2"/>
      <c r="L5" s="2"/>
      <c r="M5" s="2">
        <v>6</v>
      </c>
      <c r="N5" s="2"/>
      <c r="O5" s="2">
        <v>1</v>
      </c>
      <c r="P5" s="2"/>
      <c r="Q5" s="2"/>
      <c r="R5" s="2"/>
      <c r="S5" s="2"/>
      <c r="T5" s="2">
        <v>18</v>
      </c>
      <c r="U5" s="5">
        <v>96</v>
      </c>
      <c r="V5" s="2"/>
      <c r="W5" s="2"/>
      <c r="X5" s="2"/>
      <c r="Y5" s="2">
        <v>1</v>
      </c>
      <c r="Z5" s="2">
        <v>2</v>
      </c>
      <c r="AA5" s="2"/>
      <c r="AB5" s="2"/>
      <c r="AC5" s="2"/>
      <c r="AD5" s="2"/>
      <c r="AE5" s="2">
        <v>2</v>
      </c>
      <c r="AF5" s="2">
        <v>3</v>
      </c>
      <c r="AG5" s="2"/>
      <c r="AH5" s="2">
        <v>2</v>
      </c>
      <c r="AI5" s="2"/>
      <c r="AJ5" s="2"/>
      <c r="AK5" s="2"/>
      <c r="AL5" s="2"/>
      <c r="AM5" s="2">
        <v>1</v>
      </c>
      <c r="AN5" s="5">
        <v>11</v>
      </c>
      <c r="AO5" s="2"/>
      <c r="AP5" s="2"/>
      <c r="AQ5" s="2">
        <v>5</v>
      </c>
      <c r="AR5" s="2">
        <v>5</v>
      </c>
      <c r="AS5" s="2">
        <v>14</v>
      </c>
      <c r="AT5" s="2"/>
      <c r="AU5" s="2"/>
      <c r="AV5" s="2">
        <v>1</v>
      </c>
      <c r="AW5" s="2"/>
      <c r="AX5" s="2">
        <v>1</v>
      </c>
      <c r="AY5" s="2">
        <v>4</v>
      </c>
      <c r="AZ5" s="2"/>
      <c r="BA5" s="2">
        <v>1</v>
      </c>
      <c r="BB5" s="2"/>
      <c r="BC5" s="2"/>
      <c r="BD5" s="2"/>
      <c r="BE5" s="2"/>
      <c r="BF5" s="2"/>
      <c r="BG5" s="5">
        <v>31</v>
      </c>
      <c r="BH5" s="2"/>
      <c r="BI5" s="2">
        <v>1</v>
      </c>
      <c r="BJ5" s="2"/>
      <c r="BK5" s="2">
        <v>28</v>
      </c>
      <c r="BL5" s="2">
        <v>14</v>
      </c>
      <c r="BM5" s="2">
        <v>1</v>
      </c>
      <c r="BN5" s="2"/>
      <c r="BO5" s="2">
        <v>1</v>
      </c>
      <c r="BP5" s="2"/>
      <c r="BQ5" s="2"/>
      <c r="BR5" s="2"/>
      <c r="BS5" s="2">
        <v>15</v>
      </c>
      <c r="BT5" s="2"/>
      <c r="BU5" s="2">
        <v>1</v>
      </c>
      <c r="BV5" s="2"/>
      <c r="BW5" s="2"/>
      <c r="BX5" s="2"/>
      <c r="BY5" s="2">
        <v>1</v>
      </c>
      <c r="BZ5" s="5">
        <v>62</v>
      </c>
      <c r="CA5" s="2"/>
      <c r="CB5" s="2">
        <v>1</v>
      </c>
      <c r="CC5" s="2"/>
      <c r="CD5" s="2">
        <v>21</v>
      </c>
      <c r="CE5" s="2">
        <v>15</v>
      </c>
      <c r="CF5" s="2"/>
      <c r="CG5" s="2"/>
      <c r="CH5" s="2"/>
      <c r="CI5" s="2"/>
      <c r="CJ5" s="2">
        <v>12</v>
      </c>
      <c r="CK5" s="2">
        <v>3</v>
      </c>
      <c r="CL5" s="2">
        <v>1</v>
      </c>
      <c r="CM5" s="2">
        <v>6</v>
      </c>
      <c r="CN5" s="2">
        <v>3</v>
      </c>
      <c r="CO5" s="2"/>
      <c r="CP5" s="2"/>
      <c r="CQ5" s="2"/>
      <c r="CR5" s="2"/>
      <c r="CS5" s="5">
        <v>62</v>
      </c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5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5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5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5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5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5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5"/>
      <c r="HW5" s="2"/>
      <c r="HX5" s="2"/>
      <c r="HY5" s="2">
        <v>1</v>
      </c>
      <c r="HZ5" s="2">
        <v>59</v>
      </c>
      <c r="IA5" s="2">
        <v>38</v>
      </c>
      <c r="IB5" s="2">
        <v>10</v>
      </c>
      <c r="IC5" s="2"/>
      <c r="ID5" s="2">
        <v>1</v>
      </c>
      <c r="IE5" s="2"/>
      <c r="IF5" s="2"/>
      <c r="IG5" s="2">
        <v>4</v>
      </c>
      <c r="IH5" s="2"/>
      <c r="II5" s="2">
        <v>3</v>
      </c>
      <c r="IJ5" s="2">
        <v>2</v>
      </c>
      <c r="IK5" s="2"/>
      <c r="IL5" s="2">
        <v>3</v>
      </c>
      <c r="IM5" s="2"/>
      <c r="IN5" s="2">
        <v>13</v>
      </c>
      <c r="IO5" s="2">
        <v>134</v>
      </c>
    </row>
    <row r="6" spans="1:249" s="6" customFormat="1" x14ac:dyDescent="0.4">
      <c r="A6" s="6" t="s">
        <v>49</v>
      </c>
      <c r="B6" s="6" t="s">
        <v>3</v>
      </c>
      <c r="C6" s="8">
        <v>298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5">
        <v>298</v>
      </c>
      <c r="V6" s="8">
        <v>282</v>
      </c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5">
        <v>282</v>
      </c>
      <c r="AO6" s="8">
        <v>247</v>
      </c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5">
        <v>247</v>
      </c>
      <c r="BH6" s="8">
        <v>134</v>
      </c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5">
        <v>134</v>
      </c>
      <c r="CA6" s="8">
        <v>110</v>
      </c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5">
        <v>110</v>
      </c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5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5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5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5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5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5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5"/>
      <c r="HW6" s="8">
        <v>291</v>
      </c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>
        <v>291</v>
      </c>
    </row>
    <row r="7" spans="1:249" x14ac:dyDescent="0.4">
      <c r="A7" t="s">
        <v>49</v>
      </c>
      <c r="B7" t="s">
        <v>2</v>
      </c>
      <c r="C7" s="2"/>
      <c r="D7" s="2">
        <v>4</v>
      </c>
      <c r="E7" s="2">
        <v>35</v>
      </c>
      <c r="F7" s="2">
        <v>23</v>
      </c>
      <c r="G7" s="2">
        <v>37</v>
      </c>
      <c r="H7" s="2">
        <v>33</v>
      </c>
      <c r="I7" s="2">
        <v>27</v>
      </c>
      <c r="J7" s="2">
        <v>14</v>
      </c>
      <c r="K7" s="2">
        <v>27</v>
      </c>
      <c r="L7" s="2">
        <v>9</v>
      </c>
      <c r="M7" s="2">
        <v>46</v>
      </c>
      <c r="N7" s="2">
        <v>43</v>
      </c>
      <c r="O7" s="2">
        <v>10</v>
      </c>
      <c r="P7" s="2">
        <v>17</v>
      </c>
      <c r="Q7" s="2">
        <v>41</v>
      </c>
      <c r="R7" s="2">
        <v>7</v>
      </c>
      <c r="S7" s="2">
        <v>13</v>
      </c>
      <c r="T7" s="2">
        <v>22</v>
      </c>
      <c r="U7" s="5">
        <v>408</v>
      </c>
      <c r="V7" s="2"/>
      <c r="W7" s="2">
        <v>54</v>
      </c>
      <c r="X7" s="2">
        <v>26</v>
      </c>
      <c r="Y7" s="2">
        <v>27</v>
      </c>
      <c r="Z7" s="2">
        <v>37</v>
      </c>
      <c r="AA7" s="2">
        <v>32</v>
      </c>
      <c r="AB7" s="2">
        <v>19</v>
      </c>
      <c r="AC7" s="2">
        <v>22</v>
      </c>
      <c r="AD7" s="2">
        <v>18</v>
      </c>
      <c r="AE7" s="2">
        <v>6</v>
      </c>
      <c r="AF7" s="2">
        <v>13</v>
      </c>
      <c r="AG7" s="2">
        <v>46</v>
      </c>
      <c r="AH7" s="2">
        <v>26</v>
      </c>
      <c r="AI7" s="2">
        <v>8</v>
      </c>
      <c r="AJ7" s="2">
        <v>72</v>
      </c>
      <c r="AK7" s="2">
        <v>5</v>
      </c>
      <c r="AL7" s="2">
        <v>11</v>
      </c>
      <c r="AM7" s="2">
        <v>3</v>
      </c>
      <c r="AN7" s="5">
        <v>425</v>
      </c>
      <c r="AO7" s="2"/>
      <c r="AP7" s="2">
        <v>4</v>
      </c>
      <c r="AQ7" s="2">
        <v>21</v>
      </c>
      <c r="AR7" s="2">
        <v>30</v>
      </c>
      <c r="AS7" s="2">
        <v>36</v>
      </c>
      <c r="AT7" s="2">
        <v>44</v>
      </c>
      <c r="AU7" s="2">
        <v>12</v>
      </c>
      <c r="AV7" s="2">
        <v>22</v>
      </c>
      <c r="AW7" s="2">
        <v>14</v>
      </c>
      <c r="AX7" s="2">
        <v>5</v>
      </c>
      <c r="AY7" s="2">
        <v>8</v>
      </c>
      <c r="AZ7" s="2">
        <v>37</v>
      </c>
      <c r="BA7" s="2">
        <v>29</v>
      </c>
      <c r="BB7" s="2">
        <v>3</v>
      </c>
      <c r="BC7" s="2">
        <v>91</v>
      </c>
      <c r="BD7" s="2">
        <v>4</v>
      </c>
      <c r="BE7" s="2">
        <v>15</v>
      </c>
      <c r="BF7" s="2">
        <v>14</v>
      </c>
      <c r="BG7" s="5">
        <v>389</v>
      </c>
      <c r="BH7" s="2"/>
      <c r="BI7" s="2">
        <v>6</v>
      </c>
      <c r="BJ7" s="2">
        <v>16</v>
      </c>
      <c r="BK7" s="2">
        <v>22</v>
      </c>
      <c r="BL7" s="2">
        <v>51</v>
      </c>
      <c r="BM7" s="2">
        <v>53</v>
      </c>
      <c r="BN7" s="2">
        <v>10</v>
      </c>
      <c r="BO7" s="2">
        <v>17</v>
      </c>
      <c r="BP7" s="2">
        <v>4</v>
      </c>
      <c r="BQ7" s="2">
        <v>7</v>
      </c>
      <c r="BR7" s="2">
        <v>40</v>
      </c>
      <c r="BS7" s="2">
        <v>13</v>
      </c>
      <c r="BT7" s="2">
        <v>6</v>
      </c>
      <c r="BU7" s="2">
        <v>9</v>
      </c>
      <c r="BV7" s="2">
        <v>90</v>
      </c>
      <c r="BW7" s="2">
        <v>16</v>
      </c>
      <c r="BX7" s="2">
        <v>5</v>
      </c>
      <c r="BY7" s="2">
        <v>14</v>
      </c>
      <c r="BZ7" s="5">
        <v>379</v>
      </c>
      <c r="CA7" s="2"/>
      <c r="CB7" s="2"/>
      <c r="CC7" s="2">
        <v>13</v>
      </c>
      <c r="CD7" s="2">
        <v>13</v>
      </c>
      <c r="CE7" s="2">
        <v>38</v>
      </c>
      <c r="CF7" s="2">
        <v>61</v>
      </c>
      <c r="CG7" s="2">
        <v>20</v>
      </c>
      <c r="CH7" s="2">
        <v>11</v>
      </c>
      <c r="CI7" s="2">
        <v>8</v>
      </c>
      <c r="CJ7" s="2">
        <v>18</v>
      </c>
      <c r="CK7" s="2">
        <v>23</v>
      </c>
      <c r="CL7" s="2">
        <v>3</v>
      </c>
      <c r="CM7" s="2">
        <v>10</v>
      </c>
      <c r="CN7" s="2">
        <v>8</v>
      </c>
      <c r="CO7" s="2">
        <v>32</v>
      </c>
      <c r="CP7" s="2">
        <v>1</v>
      </c>
      <c r="CQ7" s="2">
        <v>6</v>
      </c>
      <c r="CR7" s="2"/>
      <c r="CS7" s="5">
        <v>265</v>
      </c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5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5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5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5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5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5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5"/>
      <c r="HW7" s="2"/>
      <c r="HX7" s="2">
        <v>6</v>
      </c>
      <c r="HY7" s="2">
        <v>42</v>
      </c>
      <c r="HZ7" s="2">
        <v>42</v>
      </c>
      <c r="IA7" s="2">
        <v>69</v>
      </c>
      <c r="IB7" s="2">
        <v>32</v>
      </c>
      <c r="IC7" s="2">
        <v>17</v>
      </c>
      <c r="ID7" s="2">
        <v>9</v>
      </c>
      <c r="IE7" s="2">
        <v>47</v>
      </c>
      <c r="IF7" s="2">
        <v>23</v>
      </c>
      <c r="IG7" s="2">
        <v>96</v>
      </c>
      <c r="IH7" s="2">
        <v>38</v>
      </c>
      <c r="II7" s="2">
        <v>28</v>
      </c>
      <c r="IJ7" s="2">
        <v>29</v>
      </c>
      <c r="IK7" s="2">
        <v>33</v>
      </c>
      <c r="IL7" s="2">
        <v>6</v>
      </c>
      <c r="IM7" s="2">
        <v>14</v>
      </c>
      <c r="IN7" s="2">
        <v>6</v>
      </c>
      <c r="IO7" s="2">
        <v>537</v>
      </c>
    </row>
    <row r="8" spans="1:249" x14ac:dyDescent="0.4">
      <c r="A8" t="s">
        <v>49</v>
      </c>
      <c r="B8" t="s">
        <v>9</v>
      </c>
      <c r="C8" s="2"/>
      <c r="D8" s="2"/>
      <c r="E8" s="2">
        <v>10</v>
      </c>
      <c r="F8" s="2">
        <v>50</v>
      </c>
      <c r="G8" s="2">
        <v>178</v>
      </c>
      <c r="H8" s="2"/>
      <c r="I8" s="2">
        <v>15</v>
      </c>
      <c r="J8" s="2">
        <v>13</v>
      </c>
      <c r="K8" s="2">
        <v>14</v>
      </c>
      <c r="L8" s="2">
        <v>37</v>
      </c>
      <c r="M8" s="2">
        <v>47</v>
      </c>
      <c r="N8" s="2">
        <v>63</v>
      </c>
      <c r="O8" s="2">
        <v>65</v>
      </c>
      <c r="P8" s="2">
        <v>10</v>
      </c>
      <c r="Q8" s="2">
        <v>20</v>
      </c>
      <c r="R8" s="2">
        <v>29</v>
      </c>
      <c r="S8" s="2"/>
      <c r="T8" s="2">
        <v>14</v>
      </c>
      <c r="U8" s="5">
        <v>565</v>
      </c>
      <c r="V8" s="2"/>
      <c r="W8" s="2"/>
      <c r="X8" s="2">
        <v>10</v>
      </c>
      <c r="Y8" s="2">
        <v>16</v>
      </c>
      <c r="Z8" s="2">
        <v>152</v>
      </c>
      <c r="AA8" s="2"/>
      <c r="AB8" s="2">
        <v>3</v>
      </c>
      <c r="AC8" s="2">
        <v>12</v>
      </c>
      <c r="AD8" s="2">
        <v>14</v>
      </c>
      <c r="AE8" s="2">
        <v>12</v>
      </c>
      <c r="AF8" s="2">
        <v>26</v>
      </c>
      <c r="AG8" s="2">
        <v>64</v>
      </c>
      <c r="AH8" s="2">
        <v>53</v>
      </c>
      <c r="AI8" s="2">
        <v>2</v>
      </c>
      <c r="AJ8" s="2">
        <v>25</v>
      </c>
      <c r="AK8" s="2"/>
      <c r="AL8" s="2"/>
      <c r="AM8" s="2">
        <v>10</v>
      </c>
      <c r="AN8" s="5">
        <v>399</v>
      </c>
      <c r="AO8" s="2"/>
      <c r="AP8" s="2"/>
      <c r="AQ8" s="2">
        <v>20</v>
      </c>
      <c r="AR8" s="2">
        <v>47</v>
      </c>
      <c r="AS8" s="2">
        <v>72</v>
      </c>
      <c r="AT8" s="2"/>
      <c r="AU8" s="2">
        <v>49</v>
      </c>
      <c r="AV8" s="2">
        <v>26</v>
      </c>
      <c r="AW8" s="2">
        <v>17</v>
      </c>
      <c r="AX8" s="2">
        <v>13</v>
      </c>
      <c r="AY8" s="2">
        <v>19</v>
      </c>
      <c r="AZ8" s="2">
        <v>35</v>
      </c>
      <c r="BA8" s="2">
        <v>38</v>
      </c>
      <c r="BB8" s="2">
        <v>5</v>
      </c>
      <c r="BC8" s="2">
        <v>24</v>
      </c>
      <c r="BD8" s="2"/>
      <c r="BE8" s="2">
        <v>1</v>
      </c>
      <c r="BF8" s="2">
        <v>11</v>
      </c>
      <c r="BG8" s="5">
        <v>377</v>
      </c>
      <c r="BH8" s="2"/>
      <c r="BI8" s="2">
        <v>4</v>
      </c>
      <c r="BJ8" s="2">
        <v>29</v>
      </c>
      <c r="BK8" s="2">
        <v>104</v>
      </c>
      <c r="BL8" s="2">
        <v>54</v>
      </c>
      <c r="BM8" s="2">
        <v>3</v>
      </c>
      <c r="BN8" s="2">
        <v>94</v>
      </c>
      <c r="BO8" s="2">
        <v>38</v>
      </c>
      <c r="BP8" s="2">
        <v>18</v>
      </c>
      <c r="BQ8" s="2">
        <v>5</v>
      </c>
      <c r="BR8" s="2">
        <v>11</v>
      </c>
      <c r="BS8" s="2">
        <v>29</v>
      </c>
      <c r="BT8" s="2">
        <v>24</v>
      </c>
      <c r="BU8" s="2"/>
      <c r="BV8" s="2">
        <v>46</v>
      </c>
      <c r="BW8" s="2"/>
      <c r="BX8" s="2">
        <v>6</v>
      </c>
      <c r="BY8" s="2">
        <v>2</v>
      </c>
      <c r="BZ8" s="5">
        <v>467</v>
      </c>
      <c r="CA8" s="2"/>
      <c r="CB8" s="2">
        <v>6</v>
      </c>
      <c r="CC8" s="2">
        <v>26</v>
      </c>
      <c r="CD8" s="2">
        <v>95</v>
      </c>
      <c r="CE8" s="2">
        <v>58</v>
      </c>
      <c r="CF8" s="2">
        <v>2</v>
      </c>
      <c r="CG8" s="2">
        <v>115</v>
      </c>
      <c r="CH8" s="2">
        <v>56</v>
      </c>
      <c r="CI8" s="2">
        <v>45</v>
      </c>
      <c r="CJ8" s="2">
        <v>5</v>
      </c>
      <c r="CK8" s="2">
        <v>14</v>
      </c>
      <c r="CL8" s="2">
        <v>55</v>
      </c>
      <c r="CM8" s="2">
        <v>34</v>
      </c>
      <c r="CN8" s="2">
        <v>5</v>
      </c>
      <c r="CO8" s="2">
        <v>67</v>
      </c>
      <c r="CP8" s="2">
        <v>1</v>
      </c>
      <c r="CQ8" s="2">
        <v>1</v>
      </c>
      <c r="CR8" s="2">
        <v>1</v>
      </c>
      <c r="CS8" s="5">
        <v>586</v>
      </c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5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5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5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5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5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5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5"/>
      <c r="HW8" s="2"/>
      <c r="HX8" s="2"/>
      <c r="HY8" s="2">
        <v>18</v>
      </c>
      <c r="HZ8" s="2">
        <v>39</v>
      </c>
      <c r="IA8" s="2">
        <v>144</v>
      </c>
      <c r="IB8" s="2"/>
      <c r="IC8" s="2">
        <v>3</v>
      </c>
      <c r="ID8" s="2">
        <v>43</v>
      </c>
      <c r="IE8" s="2">
        <v>20</v>
      </c>
      <c r="IF8" s="2">
        <v>33</v>
      </c>
      <c r="IG8" s="2">
        <v>38</v>
      </c>
      <c r="IH8" s="2">
        <v>45</v>
      </c>
      <c r="II8" s="2">
        <v>38</v>
      </c>
      <c r="IJ8" s="2">
        <v>20</v>
      </c>
      <c r="IK8" s="2">
        <v>64</v>
      </c>
      <c r="IL8" s="2">
        <v>71</v>
      </c>
      <c r="IM8" s="2"/>
      <c r="IN8" s="2">
        <v>7</v>
      </c>
      <c r="IO8" s="2">
        <v>583</v>
      </c>
    </row>
    <row r="9" spans="1:249" s="6" customFormat="1" x14ac:dyDescent="0.4">
      <c r="A9" s="6" t="s">
        <v>49</v>
      </c>
      <c r="B9" s="6" t="s">
        <v>101</v>
      </c>
      <c r="C9" s="8">
        <v>41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5">
        <v>41</v>
      </c>
      <c r="V9" s="8">
        <v>44</v>
      </c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5">
        <v>44</v>
      </c>
      <c r="AO9" s="8">
        <v>75</v>
      </c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5">
        <v>75</v>
      </c>
      <c r="BH9" s="8">
        <v>95</v>
      </c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5">
        <v>95</v>
      </c>
      <c r="CA9" s="8">
        <v>112</v>
      </c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5">
        <v>112</v>
      </c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5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5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5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5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5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5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5"/>
      <c r="HW9" s="8">
        <v>26</v>
      </c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>
        <v>26</v>
      </c>
    </row>
    <row r="10" spans="1:249" x14ac:dyDescent="0.4">
      <c r="A10" t="s">
        <v>49</v>
      </c>
      <c r="B10" t="s">
        <v>99</v>
      </c>
      <c r="C10" s="2"/>
      <c r="D10" s="2">
        <v>4</v>
      </c>
      <c r="E10" s="2">
        <v>12</v>
      </c>
      <c r="F10" s="2">
        <v>3</v>
      </c>
      <c r="G10" s="2">
        <v>44</v>
      </c>
      <c r="H10" s="2">
        <v>2</v>
      </c>
      <c r="I10" s="2">
        <v>1</v>
      </c>
      <c r="J10" s="2">
        <v>2</v>
      </c>
      <c r="K10" s="2">
        <v>26</v>
      </c>
      <c r="L10" s="2"/>
      <c r="M10" s="2">
        <v>9</v>
      </c>
      <c r="N10" s="2">
        <v>3</v>
      </c>
      <c r="O10" s="2">
        <v>2</v>
      </c>
      <c r="P10" s="2">
        <v>3</v>
      </c>
      <c r="Q10" s="2">
        <v>60</v>
      </c>
      <c r="R10" s="2"/>
      <c r="S10" s="2">
        <v>2</v>
      </c>
      <c r="T10" s="2">
        <v>2</v>
      </c>
      <c r="U10" s="5">
        <v>175</v>
      </c>
      <c r="V10" s="2"/>
      <c r="W10" s="2">
        <v>4</v>
      </c>
      <c r="X10" s="2">
        <v>17</v>
      </c>
      <c r="Y10" s="2">
        <v>2</v>
      </c>
      <c r="Z10" s="2">
        <v>41</v>
      </c>
      <c r="AA10" s="2">
        <v>1</v>
      </c>
      <c r="AB10" s="2">
        <v>14</v>
      </c>
      <c r="AC10" s="2">
        <v>3</v>
      </c>
      <c r="AD10" s="2">
        <v>23</v>
      </c>
      <c r="AE10" s="2"/>
      <c r="AF10" s="2">
        <v>31</v>
      </c>
      <c r="AG10" s="2">
        <v>4</v>
      </c>
      <c r="AH10" s="2">
        <v>3</v>
      </c>
      <c r="AI10" s="2">
        <v>7</v>
      </c>
      <c r="AJ10" s="2">
        <v>52</v>
      </c>
      <c r="AK10" s="2"/>
      <c r="AL10" s="2"/>
      <c r="AM10" s="2"/>
      <c r="AN10" s="5">
        <v>202</v>
      </c>
      <c r="AO10" s="2"/>
      <c r="AP10" s="2">
        <v>4</v>
      </c>
      <c r="AQ10" s="2">
        <v>22</v>
      </c>
      <c r="AR10" s="2">
        <v>7</v>
      </c>
      <c r="AS10" s="2">
        <v>46</v>
      </c>
      <c r="AT10" s="2">
        <v>4</v>
      </c>
      <c r="AU10" s="2"/>
      <c r="AV10" s="2">
        <v>2</v>
      </c>
      <c r="AW10" s="2">
        <v>14</v>
      </c>
      <c r="AX10" s="2">
        <v>1</v>
      </c>
      <c r="AY10" s="2">
        <v>35</v>
      </c>
      <c r="AZ10" s="2">
        <v>20</v>
      </c>
      <c r="BA10" s="2">
        <v>1</v>
      </c>
      <c r="BB10" s="2">
        <v>10</v>
      </c>
      <c r="BC10" s="2">
        <v>38</v>
      </c>
      <c r="BD10" s="2"/>
      <c r="BE10" s="2">
        <v>2</v>
      </c>
      <c r="BF10" s="2"/>
      <c r="BG10" s="5">
        <v>206</v>
      </c>
      <c r="BH10" s="2"/>
      <c r="BI10" s="2">
        <v>11</v>
      </c>
      <c r="BJ10" s="2">
        <v>28</v>
      </c>
      <c r="BK10" s="2">
        <v>10</v>
      </c>
      <c r="BL10" s="2">
        <v>42</v>
      </c>
      <c r="BM10" s="2">
        <v>16</v>
      </c>
      <c r="BN10" s="2">
        <v>4</v>
      </c>
      <c r="BO10" s="2">
        <v>3</v>
      </c>
      <c r="BP10" s="2">
        <v>3</v>
      </c>
      <c r="BQ10" s="2">
        <v>4</v>
      </c>
      <c r="BR10" s="2">
        <v>38</v>
      </c>
      <c r="BS10" s="2">
        <v>11</v>
      </c>
      <c r="BT10" s="2">
        <v>1</v>
      </c>
      <c r="BU10" s="2">
        <v>10</v>
      </c>
      <c r="BV10" s="2">
        <v>31</v>
      </c>
      <c r="BW10" s="2"/>
      <c r="BX10" s="2">
        <v>2</v>
      </c>
      <c r="BY10" s="2"/>
      <c r="BZ10" s="5">
        <v>214</v>
      </c>
      <c r="CA10" s="2"/>
      <c r="CB10" s="2"/>
      <c r="CC10" s="2">
        <v>32</v>
      </c>
      <c r="CD10" s="2">
        <v>14</v>
      </c>
      <c r="CE10" s="2">
        <v>21</v>
      </c>
      <c r="CF10" s="2">
        <v>26</v>
      </c>
      <c r="CG10" s="2"/>
      <c r="CH10" s="2">
        <v>3</v>
      </c>
      <c r="CI10" s="2">
        <v>2</v>
      </c>
      <c r="CJ10" s="2">
        <v>1</v>
      </c>
      <c r="CK10" s="2">
        <v>31</v>
      </c>
      <c r="CL10" s="2">
        <v>12</v>
      </c>
      <c r="CM10" s="2"/>
      <c r="CN10" s="2">
        <v>3</v>
      </c>
      <c r="CO10" s="2">
        <v>30</v>
      </c>
      <c r="CP10" s="2">
        <v>1</v>
      </c>
      <c r="CQ10" s="2">
        <v>2</v>
      </c>
      <c r="CR10" s="2"/>
      <c r="CS10" s="5">
        <v>178</v>
      </c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5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5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5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5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5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5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5"/>
      <c r="HW10" s="2"/>
      <c r="HX10" s="2">
        <v>10</v>
      </c>
      <c r="HY10" s="2">
        <v>6</v>
      </c>
      <c r="HZ10" s="2">
        <v>8</v>
      </c>
      <c r="IA10" s="2">
        <v>76</v>
      </c>
      <c r="IB10" s="2">
        <v>3</v>
      </c>
      <c r="IC10" s="2">
        <v>34</v>
      </c>
      <c r="ID10" s="2">
        <v>9</v>
      </c>
      <c r="IE10" s="2">
        <v>31</v>
      </c>
      <c r="IF10" s="2">
        <v>3</v>
      </c>
      <c r="IG10" s="2">
        <v>30</v>
      </c>
      <c r="IH10" s="2">
        <v>4</v>
      </c>
      <c r="II10" s="2"/>
      <c r="IJ10" s="2">
        <v>1</v>
      </c>
      <c r="IK10" s="2">
        <v>100</v>
      </c>
      <c r="IL10" s="2">
        <v>11</v>
      </c>
      <c r="IM10" s="2">
        <v>3</v>
      </c>
      <c r="IN10" s="2"/>
      <c r="IO10" s="2">
        <v>329</v>
      </c>
    </row>
    <row r="11" spans="1:249" x14ac:dyDescent="0.4">
      <c r="A11" t="s">
        <v>49</v>
      </c>
      <c r="B11" t="s">
        <v>100</v>
      </c>
      <c r="C11" s="2"/>
      <c r="D11" s="2"/>
      <c r="E11" s="2">
        <v>1</v>
      </c>
      <c r="F11" s="2">
        <v>20</v>
      </c>
      <c r="G11" s="2">
        <v>79</v>
      </c>
      <c r="H11" s="2">
        <v>1</v>
      </c>
      <c r="I11" s="2"/>
      <c r="J11" s="2">
        <v>1</v>
      </c>
      <c r="K11" s="2">
        <v>4</v>
      </c>
      <c r="L11" s="2">
        <v>4</v>
      </c>
      <c r="M11" s="2">
        <v>9</v>
      </c>
      <c r="N11" s="2">
        <v>3</v>
      </c>
      <c r="O11" s="2">
        <v>6</v>
      </c>
      <c r="P11" s="2">
        <v>8</v>
      </c>
      <c r="Q11" s="2">
        <v>1</v>
      </c>
      <c r="R11" s="2">
        <v>5</v>
      </c>
      <c r="S11" s="2"/>
      <c r="T11" s="2"/>
      <c r="U11" s="5">
        <v>142</v>
      </c>
      <c r="V11" s="2"/>
      <c r="W11" s="2"/>
      <c r="X11" s="2"/>
      <c r="Y11" s="2">
        <v>22</v>
      </c>
      <c r="Z11" s="2">
        <v>86</v>
      </c>
      <c r="AA11" s="2"/>
      <c r="AB11" s="2">
        <v>2</v>
      </c>
      <c r="AC11" s="2">
        <v>5</v>
      </c>
      <c r="AD11" s="2">
        <v>4</v>
      </c>
      <c r="AE11" s="2">
        <v>3</v>
      </c>
      <c r="AF11" s="2">
        <v>7</v>
      </c>
      <c r="AG11" s="2">
        <v>16</v>
      </c>
      <c r="AH11" s="2">
        <v>22</v>
      </c>
      <c r="AI11" s="2">
        <v>17</v>
      </c>
      <c r="AJ11" s="2">
        <v>1</v>
      </c>
      <c r="AK11" s="2">
        <v>8</v>
      </c>
      <c r="AL11" s="2"/>
      <c r="AM11" s="2">
        <v>1</v>
      </c>
      <c r="AN11" s="5">
        <v>194</v>
      </c>
      <c r="AO11" s="2"/>
      <c r="AP11" s="2"/>
      <c r="AQ11" s="2"/>
      <c r="AR11" s="2">
        <v>27</v>
      </c>
      <c r="AS11" s="2">
        <v>116</v>
      </c>
      <c r="AT11" s="2"/>
      <c r="AU11" s="2">
        <v>2</v>
      </c>
      <c r="AV11" s="2">
        <v>6</v>
      </c>
      <c r="AW11" s="2">
        <v>7</v>
      </c>
      <c r="AX11" s="2">
        <v>3</v>
      </c>
      <c r="AY11" s="2">
        <v>16</v>
      </c>
      <c r="AZ11" s="2">
        <v>23</v>
      </c>
      <c r="BA11" s="2">
        <v>18</v>
      </c>
      <c r="BB11" s="2"/>
      <c r="BC11" s="2">
        <v>4</v>
      </c>
      <c r="BD11" s="2">
        <v>8</v>
      </c>
      <c r="BE11" s="2"/>
      <c r="BF11" s="2">
        <v>4</v>
      </c>
      <c r="BG11" s="5">
        <v>234</v>
      </c>
      <c r="BH11" s="2"/>
      <c r="BI11" s="2">
        <v>2</v>
      </c>
      <c r="BJ11" s="2">
        <v>1</v>
      </c>
      <c r="BK11" s="2">
        <v>24</v>
      </c>
      <c r="BL11" s="2">
        <v>88</v>
      </c>
      <c r="BM11" s="2"/>
      <c r="BN11" s="2">
        <v>2</v>
      </c>
      <c r="BO11" s="2"/>
      <c r="BP11" s="2">
        <v>5</v>
      </c>
      <c r="BQ11" s="2"/>
      <c r="BR11" s="2">
        <v>28</v>
      </c>
      <c r="BS11" s="2">
        <v>22</v>
      </c>
      <c r="BT11" s="2">
        <v>25</v>
      </c>
      <c r="BU11" s="2"/>
      <c r="BV11" s="2">
        <v>6</v>
      </c>
      <c r="BW11" s="2">
        <v>6</v>
      </c>
      <c r="BX11" s="2"/>
      <c r="BY11" s="2">
        <v>4</v>
      </c>
      <c r="BZ11" s="5">
        <v>213</v>
      </c>
      <c r="CA11" s="2"/>
      <c r="CB11" s="2">
        <v>11</v>
      </c>
      <c r="CC11" s="2">
        <v>4</v>
      </c>
      <c r="CD11" s="2">
        <v>13</v>
      </c>
      <c r="CE11" s="2">
        <v>45</v>
      </c>
      <c r="CF11" s="2"/>
      <c r="CG11" s="2"/>
      <c r="CH11" s="2"/>
      <c r="CI11" s="2">
        <v>12</v>
      </c>
      <c r="CJ11" s="2"/>
      <c r="CK11" s="2">
        <v>29</v>
      </c>
      <c r="CL11" s="2">
        <v>15</v>
      </c>
      <c r="CM11" s="2">
        <v>25</v>
      </c>
      <c r="CN11" s="2"/>
      <c r="CO11" s="2">
        <v>5</v>
      </c>
      <c r="CP11" s="2">
        <v>6</v>
      </c>
      <c r="CQ11" s="2"/>
      <c r="CR11" s="2">
        <v>2</v>
      </c>
      <c r="CS11" s="5">
        <v>167</v>
      </c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5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5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5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5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5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5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5"/>
      <c r="HW11" s="2"/>
      <c r="HX11" s="2"/>
      <c r="HY11" s="2">
        <v>1</v>
      </c>
      <c r="HZ11" s="2">
        <v>19</v>
      </c>
      <c r="IA11" s="2">
        <v>51</v>
      </c>
      <c r="IB11" s="2">
        <v>1</v>
      </c>
      <c r="IC11" s="2"/>
      <c r="ID11" s="2">
        <v>34</v>
      </c>
      <c r="IE11" s="2">
        <v>5</v>
      </c>
      <c r="IF11" s="2">
        <v>4</v>
      </c>
      <c r="IG11" s="2">
        <v>19</v>
      </c>
      <c r="IH11" s="2">
        <v>8</v>
      </c>
      <c r="II11" s="2">
        <v>3</v>
      </c>
      <c r="IJ11" s="2">
        <v>3</v>
      </c>
      <c r="IK11" s="2">
        <v>55</v>
      </c>
      <c r="IL11" s="2">
        <v>18</v>
      </c>
      <c r="IM11" s="2"/>
      <c r="IN11" s="2"/>
      <c r="IO11" s="2">
        <v>221</v>
      </c>
    </row>
    <row r="12" spans="1:249" s="6" customFormat="1" x14ac:dyDescent="0.4">
      <c r="A12" s="6" t="s">
        <v>49</v>
      </c>
      <c r="B12" s="6" t="s">
        <v>96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5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5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5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5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5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5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5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5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5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5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5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5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</row>
    <row r="13" spans="1:249" x14ac:dyDescent="0.4">
      <c r="A13" t="s">
        <v>49</v>
      </c>
      <c r="B13" t="s">
        <v>97</v>
      </c>
      <c r="C13" s="2"/>
      <c r="D13" s="2"/>
      <c r="E13" s="2"/>
      <c r="F13" s="2">
        <v>13</v>
      </c>
      <c r="G13" s="2">
        <v>1</v>
      </c>
      <c r="H13" s="2"/>
      <c r="I13" s="2"/>
      <c r="J13" s="2">
        <v>3</v>
      </c>
      <c r="K13" s="2"/>
      <c r="L13" s="2"/>
      <c r="M13" s="2"/>
      <c r="N13" s="2">
        <v>4</v>
      </c>
      <c r="O13" s="2"/>
      <c r="P13" s="2"/>
      <c r="Q13" s="2"/>
      <c r="R13" s="2"/>
      <c r="S13" s="2"/>
      <c r="T13" s="2"/>
      <c r="U13" s="5">
        <v>21</v>
      </c>
      <c r="V13" s="2"/>
      <c r="W13" s="2"/>
      <c r="X13" s="2"/>
      <c r="Y13" s="2">
        <v>12</v>
      </c>
      <c r="Z13" s="2">
        <v>1</v>
      </c>
      <c r="AA13" s="2"/>
      <c r="AB13" s="2"/>
      <c r="AC13" s="2">
        <v>3</v>
      </c>
      <c r="AD13" s="2"/>
      <c r="AE13" s="2"/>
      <c r="AF13" s="2"/>
      <c r="AG13" s="2">
        <v>4</v>
      </c>
      <c r="AH13" s="2"/>
      <c r="AI13" s="2">
        <v>2</v>
      </c>
      <c r="AJ13" s="2"/>
      <c r="AK13" s="2"/>
      <c r="AL13" s="2"/>
      <c r="AM13" s="2"/>
      <c r="AN13" s="5">
        <v>22</v>
      </c>
      <c r="AO13" s="2"/>
      <c r="AP13" s="2"/>
      <c r="AQ13" s="2"/>
      <c r="AR13" s="2">
        <v>12</v>
      </c>
      <c r="AS13" s="2">
        <v>2</v>
      </c>
      <c r="AT13" s="2"/>
      <c r="AU13" s="2"/>
      <c r="AV13" s="2">
        <v>3</v>
      </c>
      <c r="AW13" s="2"/>
      <c r="AX13" s="2"/>
      <c r="AY13" s="2"/>
      <c r="AZ13" s="2">
        <v>5</v>
      </c>
      <c r="BA13" s="2"/>
      <c r="BB13" s="2">
        <v>2</v>
      </c>
      <c r="BC13" s="2"/>
      <c r="BD13" s="2"/>
      <c r="BE13" s="2"/>
      <c r="BF13" s="2"/>
      <c r="BG13" s="5">
        <v>24</v>
      </c>
      <c r="BH13" s="2"/>
      <c r="BI13" s="2"/>
      <c r="BJ13" s="2"/>
      <c r="BK13" s="2">
        <v>12</v>
      </c>
      <c r="BL13" s="2">
        <v>4</v>
      </c>
      <c r="BM13" s="2"/>
      <c r="BN13" s="2"/>
      <c r="BO13" s="2">
        <v>3</v>
      </c>
      <c r="BP13" s="2"/>
      <c r="BQ13" s="2"/>
      <c r="BR13" s="2"/>
      <c r="BS13" s="2"/>
      <c r="BT13" s="2"/>
      <c r="BU13" s="2">
        <v>2</v>
      </c>
      <c r="BV13" s="2"/>
      <c r="BW13" s="2"/>
      <c r="BX13" s="2"/>
      <c r="BY13" s="2"/>
      <c r="BZ13" s="5">
        <v>21</v>
      </c>
      <c r="CA13" s="2"/>
      <c r="CB13" s="2"/>
      <c r="CC13" s="2"/>
      <c r="CD13" s="2">
        <v>10</v>
      </c>
      <c r="CE13" s="2">
        <v>4</v>
      </c>
      <c r="CF13" s="2"/>
      <c r="CG13" s="2"/>
      <c r="CH13" s="2"/>
      <c r="CI13" s="2"/>
      <c r="CJ13" s="2"/>
      <c r="CK13" s="2"/>
      <c r="CL13" s="2">
        <v>1</v>
      </c>
      <c r="CM13" s="2"/>
      <c r="CN13" s="2">
        <v>2</v>
      </c>
      <c r="CO13" s="2"/>
      <c r="CP13" s="2"/>
      <c r="CQ13" s="2"/>
      <c r="CR13" s="2"/>
      <c r="CS13" s="5">
        <v>17</v>
      </c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5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5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5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5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5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5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5"/>
      <c r="HW13" s="2"/>
      <c r="HX13" s="2"/>
      <c r="HY13" s="2"/>
      <c r="HZ13" s="2">
        <v>12</v>
      </c>
      <c r="IA13" s="2">
        <v>1</v>
      </c>
      <c r="IB13" s="2">
        <v>1</v>
      </c>
      <c r="IC13" s="2"/>
      <c r="ID13" s="2">
        <v>1</v>
      </c>
      <c r="IE13" s="2"/>
      <c r="IF13" s="2"/>
      <c r="IG13" s="2"/>
      <c r="IH13" s="2">
        <v>4</v>
      </c>
      <c r="II13" s="2"/>
      <c r="IJ13" s="2"/>
      <c r="IK13" s="2"/>
      <c r="IL13" s="2"/>
      <c r="IM13" s="2"/>
      <c r="IN13" s="2"/>
      <c r="IO13" s="2">
        <v>19</v>
      </c>
    </row>
    <row r="14" spans="1:249" x14ac:dyDescent="0.4">
      <c r="A14" t="s">
        <v>49</v>
      </c>
      <c r="B14" t="s">
        <v>98</v>
      </c>
      <c r="C14" s="2"/>
      <c r="D14" s="2"/>
      <c r="E14" s="2"/>
      <c r="F14" s="2">
        <v>3</v>
      </c>
      <c r="G14" s="2">
        <v>2</v>
      </c>
      <c r="H14" s="2"/>
      <c r="I14" s="2">
        <v>2</v>
      </c>
      <c r="J14" s="2">
        <v>33</v>
      </c>
      <c r="K14" s="2"/>
      <c r="L14" s="2"/>
      <c r="M14" s="2">
        <v>1</v>
      </c>
      <c r="N14" s="2">
        <v>1</v>
      </c>
      <c r="O14" s="2"/>
      <c r="P14" s="2"/>
      <c r="Q14" s="2"/>
      <c r="R14" s="2"/>
      <c r="S14" s="2"/>
      <c r="T14" s="2"/>
      <c r="U14" s="5">
        <v>42</v>
      </c>
      <c r="V14" s="2"/>
      <c r="W14" s="2"/>
      <c r="X14" s="2"/>
      <c r="Y14" s="2">
        <v>44</v>
      </c>
      <c r="Z14" s="2">
        <v>6</v>
      </c>
      <c r="AA14" s="2"/>
      <c r="AB14" s="2">
        <v>2</v>
      </c>
      <c r="AC14" s="2">
        <v>34</v>
      </c>
      <c r="AD14" s="2"/>
      <c r="AE14" s="2"/>
      <c r="AF14" s="2">
        <v>3</v>
      </c>
      <c r="AG14" s="2">
        <v>1</v>
      </c>
      <c r="AH14" s="2"/>
      <c r="AI14" s="2"/>
      <c r="AJ14" s="2"/>
      <c r="AK14" s="2"/>
      <c r="AL14" s="2"/>
      <c r="AM14" s="2">
        <v>12</v>
      </c>
      <c r="AN14" s="5">
        <v>102</v>
      </c>
      <c r="AO14" s="2"/>
      <c r="AP14" s="2"/>
      <c r="AQ14" s="2"/>
      <c r="AR14" s="2">
        <v>43</v>
      </c>
      <c r="AS14" s="2">
        <v>6</v>
      </c>
      <c r="AT14" s="2"/>
      <c r="AU14" s="2">
        <v>2</v>
      </c>
      <c r="AV14" s="2">
        <v>34</v>
      </c>
      <c r="AW14" s="2"/>
      <c r="AX14" s="2"/>
      <c r="AY14" s="2">
        <v>4</v>
      </c>
      <c r="AZ14" s="2">
        <v>1</v>
      </c>
      <c r="BA14" s="2"/>
      <c r="BB14" s="2"/>
      <c r="BC14" s="2"/>
      <c r="BD14" s="2"/>
      <c r="BE14" s="2"/>
      <c r="BF14" s="2"/>
      <c r="BG14" s="5">
        <v>90</v>
      </c>
      <c r="BH14" s="2"/>
      <c r="BI14" s="2"/>
      <c r="BJ14" s="2"/>
      <c r="BK14" s="2">
        <v>44</v>
      </c>
      <c r="BL14" s="2">
        <v>4</v>
      </c>
      <c r="BM14" s="2"/>
      <c r="BN14" s="2">
        <v>1</v>
      </c>
      <c r="BO14" s="2">
        <v>34</v>
      </c>
      <c r="BP14" s="2"/>
      <c r="BQ14" s="2"/>
      <c r="BR14" s="2">
        <v>5</v>
      </c>
      <c r="BS14" s="2">
        <v>1</v>
      </c>
      <c r="BT14" s="2"/>
      <c r="BU14" s="2"/>
      <c r="BV14" s="2"/>
      <c r="BW14" s="2"/>
      <c r="BX14" s="2"/>
      <c r="BY14" s="2"/>
      <c r="BZ14" s="5">
        <v>89</v>
      </c>
      <c r="CA14" s="2"/>
      <c r="CB14" s="2"/>
      <c r="CC14" s="2"/>
      <c r="CD14" s="2">
        <v>10</v>
      </c>
      <c r="CE14" s="2"/>
      <c r="CF14" s="2"/>
      <c r="CG14" s="2"/>
      <c r="CH14" s="2"/>
      <c r="CI14" s="2"/>
      <c r="CJ14" s="2"/>
      <c r="CK14" s="2">
        <v>2</v>
      </c>
      <c r="CL14" s="2"/>
      <c r="CM14" s="2"/>
      <c r="CN14" s="2"/>
      <c r="CO14" s="2"/>
      <c r="CP14" s="2"/>
      <c r="CQ14" s="2"/>
      <c r="CR14" s="2"/>
      <c r="CS14" s="5">
        <v>12</v>
      </c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5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5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5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5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5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5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5"/>
      <c r="HW14" s="2"/>
      <c r="HX14" s="2"/>
      <c r="HY14" s="2"/>
      <c r="HZ14" s="2">
        <v>2</v>
      </c>
      <c r="IA14" s="2">
        <v>2</v>
      </c>
      <c r="IB14" s="2"/>
      <c r="IC14" s="2">
        <v>2</v>
      </c>
      <c r="ID14" s="2">
        <v>33</v>
      </c>
      <c r="IE14" s="2"/>
      <c r="IF14" s="2"/>
      <c r="IG14" s="2">
        <v>1</v>
      </c>
      <c r="IH14" s="2">
        <v>2</v>
      </c>
      <c r="II14" s="2">
        <v>1</v>
      </c>
      <c r="IJ14" s="2"/>
      <c r="IK14" s="2"/>
      <c r="IL14" s="2"/>
      <c r="IM14" s="2"/>
      <c r="IN14" s="2"/>
      <c r="IO14" s="2">
        <v>43</v>
      </c>
    </row>
    <row r="15" spans="1:249" s="6" customFormat="1" x14ac:dyDescent="0.4">
      <c r="A15" s="6" t="s">
        <v>49</v>
      </c>
      <c r="B15" s="6" t="s">
        <v>7</v>
      </c>
      <c r="C15" s="7">
        <v>37176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9">
        <v>37176</v>
      </c>
      <c r="V15" s="7">
        <v>37303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9">
        <v>37303</v>
      </c>
      <c r="AO15" s="7">
        <v>37348</v>
      </c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9">
        <v>37348</v>
      </c>
      <c r="BH15" s="7">
        <v>37252</v>
      </c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9">
        <v>37252</v>
      </c>
      <c r="CA15" s="7">
        <v>37202</v>
      </c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9">
        <v>37202</v>
      </c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9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9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9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9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9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9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9"/>
      <c r="HW15" s="7">
        <v>37221</v>
      </c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>
        <v>37221</v>
      </c>
    </row>
    <row r="16" spans="1:249" x14ac:dyDescent="0.4">
      <c r="A16" t="s">
        <v>49</v>
      </c>
      <c r="B16" t="s">
        <v>5</v>
      </c>
      <c r="C16" s="1">
        <v>8214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9">
        <v>8214</v>
      </c>
      <c r="V16" s="1">
        <v>8272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9">
        <v>8272</v>
      </c>
      <c r="AO16" s="1">
        <v>8257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9">
        <v>8257</v>
      </c>
      <c r="BH16" s="1">
        <v>8233</v>
      </c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9">
        <v>8233</v>
      </c>
      <c r="CA16" s="1">
        <v>8254</v>
      </c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9">
        <v>8254</v>
      </c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9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9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9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9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9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9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9"/>
      <c r="HW16" s="1">
        <v>8259</v>
      </c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>
        <v>8259</v>
      </c>
    </row>
    <row r="17" spans="1:249" x14ac:dyDescent="0.4">
      <c r="A17" t="s">
        <v>49</v>
      </c>
      <c r="B17" t="s">
        <v>6</v>
      </c>
      <c r="C17" s="1"/>
      <c r="D17" s="1">
        <v>1725</v>
      </c>
      <c r="E17" s="1">
        <v>2359</v>
      </c>
      <c r="F17" s="1">
        <v>2815</v>
      </c>
      <c r="G17" s="1">
        <v>2742</v>
      </c>
      <c r="H17" s="1">
        <v>4074</v>
      </c>
      <c r="I17" s="1">
        <v>1294</v>
      </c>
      <c r="J17" s="1">
        <v>2722</v>
      </c>
      <c r="K17" s="1">
        <v>3009</v>
      </c>
      <c r="L17" s="1">
        <v>3748</v>
      </c>
      <c r="M17" s="1">
        <v>2468</v>
      </c>
      <c r="N17" s="1">
        <v>2834</v>
      </c>
      <c r="O17" s="1">
        <v>2412</v>
      </c>
      <c r="P17" s="1">
        <v>1438</v>
      </c>
      <c r="Q17" s="1">
        <v>1549</v>
      </c>
      <c r="R17" s="1">
        <v>2172</v>
      </c>
      <c r="S17" s="1">
        <v>911</v>
      </c>
      <c r="T17" s="1">
        <v>1495</v>
      </c>
      <c r="U17" s="9">
        <v>39767</v>
      </c>
      <c r="V17" s="1"/>
      <c r="W17" s="1">
        <v>1729</v>
      </c>
      <c r="X17" s="1">
        <v>2374</v>
      </c>
      <c r="Y17" s="1">
        <v>2805</v>
      </c>
      <c r="Z17" s="1">
        <v>2781</v>
      </c>
      <c r="AA17" s="1">
        <v>4099</v>
      </c>
      <c r="AB17" s="1">
        <v>1291</v>
      </c>
      <c r="AC17" s="1">
        <v>2724</v>
      </c>
      <c r="AD17" s="1">
        <v>3000</v>
      </c>
      <c r="AE17" s="1">
        <v>3750</v>
      </c>
      <c r="AF17" s="1">
        <v>2465</v>
      </c>
      <c r="AG17" s="1">
        <v>2843</v>
      </c>
      <c r="AH17" s="1">
        <v>2416</v>
      </c>
      <c r="AI17" s="1">
        <v>1439</v>
      </c>
      <c r="AJ17" s="1">
        <v>1587</v>
      </c>
      <c r="AK17" s="1">
        <v>2190</v>
      </c>
      <c r="AL17" s="1">
        <v>914</v>
      </c>
      <c r="AM17" s="1">
        <v>1526</v>
      </c>
      <c r="AN17" s="9">
        <v>39933</v>
      </c>
      <c r="AO17" s="1"/>
      <c r="AP17" s="1">
        <v>1825</v>
      </c>
      <c r="AQ17" s="1">
        <v>2376</v>
      </c>
      <c r="AR17" s="1">
        <v>2825</v>
      </c>
      <c r="AS17" s="1">
        <v>2820</v>
      </c>
      <c r="AT17" s="1">
        <v>4093</v>
      </c>
      <c r="AU17" s="1">
        <v>1314</v>
      </c>
      <c r="AV17" s="1">
        <v>2683</v>
      </c>
      <c r="AW17" s="1">
        <v>2986</v>
      </c>
      <c r="AX17" s="1">
        <v>3743</v>
      </c>
      <c r="AY17" s="1">
        <v>2521</v>
      </c>
      <c r="AZ17" s="1">
        <v>2750</v>
      </c>
      <c r="BA17" s="1">
        <v>2460</v>
      </c>
      <c r="BB17" s="1">
        <v>1453</v>
      </c>
      <c r="BC17" s="1">
        <v>1591</v>
      </c>
      <c r="BD17" s="1">
        <v>2193</v>
      </c>
      <c r="BE17" s="1">
        <v>943</v>
      </c>
      <c r="BF17" s="1">
        <v>1532</v>
      </c>
      <c r="BG17" s="9">
        <v>40108</v>
      </c>
      <c r="BH17" s="1"/>
      <c r="BI17" s="1">
        <v>2018</v>
      </c>
      <c r="BJ17" s="1">
        <v>2357</v>
      </c>
      <c r="BK17" s="1">
        <v>2837</v>
      </c>
      <c r="BL17" s="1">
        <v>2833</v>
      </c>
      <c r="BM17" s="1">
        <v>4096</v>
      </c>
      <c r="BN17" s="1">
        <v>1316</v>
      </c>
      <c r="BO17" s="1">
        <v>2683</v>
      </c>
      <c r="BP17" s="1">
        <v>2991</v>
      </c>
      <c r="BQ17" s="1">
        <v>3738</v>
      </c>
      <c r="BR17" s="1">
        <v>2587</v>
      </c>
      <c r="BS17" s="1">
        <v>2808</v>
      </c>
      <c r="BT17" s="1">
        <v>2472</v>
      </c>
      <c r="BU17" s="1">
        <v>1463</v>
      </c>
      <c r="BV17" s="1">
        <v>1472</v>
      </c>
      <c r="BW17" s="1">
        <v>2191</v>
      </c>
      <c r="BX17" s="1">
        <v>947</v>
      </c>
      <c r="BY17" s="1">
        <v>1551</v>
      </c>
      <c r="BZ17" s="9">
        <v>40360</v>
      </c>
      <c r="CA17" s="1"/>
      <c r="CB17" s="1">
        <v>1957</v>
      </c>
      <c r="CC17" s="1">
        <v>2348</v>
      </c>
      <c r="CD17" s="1">
        <v>2823</v>
      </c>
      <c r="CE17" s="1">
        <v>2838</v>
      </c>
      <c r="CF17" s="1">
        <v>4112</v>
      </c>
      <c r="CG17" s="1">
        <v>1309</v>
      </c>
      <c r="CH17" s="1">
        <v>2677</v>
      </c>
      <c r="CI17" s="1">
        <v>2990</v>
      </c>
      <c r="CJ17" s="1">
        <v>3692</v>
      </c>
      <c r="CK17" s="1">
        <v>2634</v>
      </c>
      <c r="CL17" s="1">
        <v>2810</v>
      </c>
      <c r="CM17" s="1">
        <v>2445</v>
      </c>
      <c r="CN17" s="1">
        <v>1470</v>
      </c>
      <c r="CO17" s="1">
        <v>1494</v>
      </c>
      <c r="CP17" s="1">
        <v>2188</v>
      </c>
      <c r="CQ17" s="1">
        <v>936</v>
      </c>
      <c r="CR17" s="1">
        <v>1615</v>
      </c>
      <c r="CS17" s="9">
        <v>40338</v>
      </c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9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9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9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9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9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9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9"/>
      <c r="HW17" s="1"/>
      <c r="HX17" s="1">
        <v>1722</v>
      </c>
      <c r="HY17" s="1">
        <v>2371</v>
      </c>
      <c r="HZ17" s="1">
        <v>2771</v>
      </c>
      <c r="IA17" s="1">
        <v>2660</v>
      </c>
      <c r="IB17" s="1">
        <v>3988</v>
      </c>
      <c r="IC17" s="1">
        <v>1245</v>
      </c>
      <c r="ID17" s="1">
        <v>2732</v>
      </c>
      <c r="IE17" s="1">
        <v>3003</v>
      </c>
      <c r="IF17" s="1">
        <v>3679</v>
      </c>
      <c r="IG17" s="1">
        <v>2373</v>
      </c>
      <c r="IH17" s="1">
        <v>2819</v>
      </c>
      <c r="II17" s="1">
        <v>2372</v>
      </c>
      <c r="IJ17" s="1">
        <v>1429</v>
      </c>
      <c r="IK17" s="1">
        <v>1435</v>
      </c>
      <c r="IL17" s="1">
        <v>2174</v>
      </c>
      <c r="IM17" s="1">
        <v>922</v>
      </c>
      <c r="IN17" s="1">
        <v>1479</v>
      </c>
      <c r="IO17" s="1">
        <v>39174</v>
      </c>
    </row>
    <row r="18" spans="1:249" x14ac:dyDescent="0.4">
      <c r="A18" t="s">
        <v>49</v>
      </c>
      <c r="B18" t="s">
        <v>4</v>
      </c>
      <c r="C18" s="1"/>
      <c r="D18" s="1">
        <v>434</v>
      </c>
      <c r="E18" s="1">
        <v>2036</v>
      </c>
      <c r="F18" s="1">
        <v>2758</v>
      </c>
      <c r="G18" s="1">
        <v>2177</v>
      </c>
      <c r="H18" s="1">
        <v>1203</v>
      </c>
      <c r="I18" s="1">
        <v>482</v>
      </c>
      <c r="J18" s="1">
        <v>1423</v>
      </c>
      <c r="K18" s="1">
        <v>2142</v>
      </c>
      <c r="L18" s="1">
        <v>841</v>
      </c>
      <c r="M18" s="1">
        <v>1898</v>
      </c>
      <c r="N18" s="1">
        <v>1047</v>
      </c>
      <c r="O18" s="1">
        <v>1049</v>
      </c>
      <c r="P18" s="1">
        <v>775</v>
      </c>
      <c r="Q18" s="1">
        <v>1878</v>
      </c>
      <c r="R18" s="1">
        <v>362</v>
      </c>
      <c r="S18" s="1">
        <v>771</v>
      </c>
      <c r="T18" s="1">
        <v>276</v>
      </c>
      <c r="U18" s="9">
        <v>21552</v>
      </c>
      <c r="V18" s="1"/>
      <c r="W18" s="1">
        <v>434</v>
      </c>
      <c r="X18" s="1">
        <v>2040</v>
      </c>
      <c r="Y18" s="1">
        <v>2780</v>
      </c>
      <c r="Z18" s="1">
        <v>2174</v>
      </c>
      <c r="AA18" s="1">
        <v>1203</v>
      </c>
      <c r="AB18" s="1">
        <v>472</v>
      </c>
      <c r="AC18" s="1">
        <v>1428</v>
      </c>
      <c r="AD18" s="1">
        <v>2150</v>
      </c>
      <c r="AE18" s="1">
        <v>843</v>
      </c>
      <c r="AF18" s="1">
        <v>1902</v>
      </c>
      <c r="AG18" s="1">
        <v>1050</v>
      </c>
      <c r="AH18" s="1">
        <v>1042</v>
      </c>
      <c r="AI18" s="1">
        <v>821</v>
      </c>
      <c r="AJ18" s="1">
        <v>1938</v>
      </c>
      <c r="AK18" s="1">
        <v>364</v>
      </c>
      <c r="AL18" s="1">
        <v>777</v>
      </c>
      <c r="AM18" s="1">
        <v>278</v>
      </c>
      <c r="AN18" s="9">
        <v>21696</v>
      </c>
      <c r="AO18" s="1"/>
      <c r="AP18" s="1">
        <v>438</v>
      </c>
      <c r="AQ18" s="1">
        <v>2061</v>
      </c>
      <c r="AR18" s="1">
        <v>2795</v>
      </c>
      <c r="AS18" s="1">
        <v>2213</v>
      </c>
      <c r="AT18" s="1">
        <v>1212</v>
      </c>
      <c r="AU18" s="1">
        <v>499</v>
      </c>
      <c r="AV18" s="1">
        <v>1485</v>
      </c>
      <c r="AW18" s="1">
        <v>2182</v>
      </c>
      <c r="AX18" s="1">
        <v>843</v>
      </c>
      <c r="AY18" s="1">
        <v>1903</v>
      </c>
      <c r="AZ18" s="1">
        <v>1052</v>
      </c>
      <c r="BA18" s="1">
        <v>1039</v>
      </c>
      <c r="BB18" s="1">
        <v>800</v>
      </c>
      <c r="BC18" s="1">
        <v>1957</v>
      </c>
      <c r="BD18" s="1">
        <v>366</v>
      </c>
      <c r="BE18" s="1">
        <v>794</v>
      </c>
      <c r="BF18" s="1">
        <v>278</v>
      </c>
      <c r="BG18" s="9">
        <v>21917</v>
      </c>
      <c r="BH18" s="1"/>
      <c r="BI18" s="1">
        <v>542</v>
      </c>
      <c r="BJ18" s="1">
        <v>2057</v>
      </c>
      <c r="BK18" s="1">
        <v>2790</v>
      </c>
      <c r="BL18" s="1">
        <v>2211</v>
      </c>
      <c r="BM18" s="1">
        <v>1215</v>
      </c>
      <c r="BN18" s="1">
        <v>500</v>
      </c>
      <c r="BO18" s="1">
        <v>1476</v>
      </c>
      <c r="BP18" s="1">
        <v>2210</v>
      </c>
      <c r="BQ18" s="1">
        <v>847</v>
      </c>
      <c r="BR18" s="1">
        <v>1902</v>
      </c>
      <c r="BS18" s="1">
        <v>1083</v>
      </c>
      <c r="BT18" s="1">
        <v>1048</v>
      </c>
      <c r="BU18" s="1">
        <v>815</v>
      </c>
      <c r="BV18" s="1">
        <v>1877</v>
      </c>
      <c r="BW18" s="1">
        <v>369</v>
      </c>
      <c r="BX18" s="1">
        <v>806</v>
      </c>
      <c r="BY18" s="1">
        <v>278</v>
      </c>
      <c r="BZ18" s="9">
        <v>22026</v>
      </c>
      <c r="CA18" s="1"/>
      <c r="CB18" s="1">
        <v>496</v>
      </c>
      <c r="CC18" s="1">
        <v>2064</v>
      </c>
      <c r="CD18" s="1">
        <v>2789</v>
      </c>
      <c r="CE18" s="1">
        <v>2212</v>
      </c>
      <c r="CF18" s="1">
        <v>1224</v>
      </c>
      <c r="CG18" s="1">
        <v>502</v>
      </c>
      <c r="CH18" s="1">
        <v>1479</v>
      </c>
      <c r="CI18" s="1">
        <v>2225</v>
      </c>
      <c r="CJ18" s="1">
        <v>842</v>
      </c>
      <c r="CK18" s="1">
        <v>1905</v>
      </c>
      <c r="CL18" s="1">
        <v>1081</v>
      </c>
      <c r="CM18" s="1">
        <v>1050</v>
      </c>
      <c r="CN18" s="1">
        <v>820</v>
      </c>
      <c r="CO18" s="1">
        <v>1876</v>
      </c>
      <c r="CP18" s="1">
        <v>370</v>
      </c>
      <c r="CQ18" s="1">
        <v>807</v>
      </c>
      <c r="CR18" s="1">
        <v>279</v>
      </c>
      <c r="CS18" s="9">
        <v>22021</v>
      </c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9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9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9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9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9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9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9"/>
      <c r="HW18" s="1"/>
      <c r="HX18" s="1">
        <v>434</v>
      </c>
      <c r="HY18" s="1">
        <v>2036</v>
      </c>
      <c r="HZ18" s="1">
        <v>2748</v>
      </c>
      <c r="IA18" s="1">
        <v>2166</v>
      </c>
      <c r="IB18" s="1">
        <v>1140</v>
      </c>
      <c r="IC18" s="1">
        <v>468</v>
      </c>
      <c r="ID18" s="1">
        <v>1394</v>
      </c>
      <c r="IE18" s="1">
        <v>2087</v>
      </c>
      <c r="IF18" s="1">
        <v>830</v>
      </c>
      <c r="IG18" s="1">
        <v>1881</v>
      </c>
      <c r="IH18" s="1">
        <v>1030</v>
      </c>
      <c r="II18" s="1">
        <v>1049</v>
      </c>
      <c r="IJ18" s="1">
        <v>769</v>
      </c>
      <c r="IK18" s="1">
        <v>1760</v>
      </c>
      <c r="IL18" s="1">
        <v>369</v>
      </c>
      <c r="IM18" s="1">
        <v>758</v>
      </c>
      <c r="IN18" s="1">
        <v>272</v>
      </c>
      <c r="IO18" s="1">
        <v>21191</v>
      </c>
    </row>
    <row r="19" spans="1:249" x14ac:dyDescent="0.4">
      <c r="A19" t="s">
        <v>49</v>
      </c>
      <c r="B19" t="s">
        <v>46</v>
      </c>
      <c r="C19" s="1"/>
      <c r="D19" s="1">
        <v>17</v>
      </c>
      <c r="E19" s="1">
        <v>3533</v>
      </c>
      <c r="F19" s="1">
        <v>7245</v>
      </c>
      <c r="G19" s="1">
        <v>6564</v>
      </c>
      <c r="H19" s="1">
        <v>530</v>
      </c>
      <c r="I19" s="1">
        <v>4208</v>
      </c>
      <c r="J19" s="1">
        <v>5054</v>
      </c>
      <c r="K19" s="1">
        <v>5901</v>
      </c>
      <c r="L19" s="1">
        <v>4209</v>
      </c>
      <c r="M19" s="1">
        <v>5599</v>
      </c>
      <c r="N19" s="1">
        <v>3779</v>
      </c>
      <c r="O19" s="1">
        <v>7564</v>
      </c>
      <c r="P19" s="1">
        <v>2055</v>
      </c>
      <c r="Q19" s="1">
        <v>8339</v>
      </c>
      <c r="R19" s="1">
        <v>1846</v>
      </c>
      <c r="S19" s="1">
        <v>538</v>
      </c>
      <c r="T19" s="1">
        <v>4235</v>
      </c>
      <c r="U19" s="9">
        <v>71216</v>
      </c>
      <c r="V19" s="1"/>
      <c r="W19" s="1">
        <v>17</v>
      </c>
      <c r="X19" s="1">
        <v>3520</v>
      </c>
      <c r="Y19" s="1">
        <v>7322</v>
      </c>
      <c r="Z19" s="1">
        <v>6609</v>
      </c>
      <c r="AA19" s="1">
        <v>530</v>
      </c>
      <c r="AB19" s="1">
        <v>4212</v>
      </c>
      <c r="AC19" s="1">
        <v>5059</v>
      </c>
      <c r="AD19" s="1">
        <v>5919</v>
      </c>
      <c r="AE19" s="1">
        <v>4237</v>
      </c>
      <c r="AF19" s="1">
        <v>5610</v>
      </c>
      <c r="AG19" s="1">
        <v>3841</v>
      </c>
      <c r="AH19" s="1">
        <v>7548</v>
      </c>
      <c r="AI19" s="1">
        <v>2058</v>
      </c>
      <c r="AJ19" s="1">
        <v>8333</v>
      </c>
      <c r="AK19" s="1">
        <v>1873</v>
      </c>
      <c r="AL19" s="1">
        <v>541</v>
      </c>
      <c r="AM19" s="1">
        <v>4266</v>
      </c>
      <c r="AN19" s="9">
        <v>71495</v>
      </c>
      <c r="AO19" s="1"/>
      <c r="AP19" s="1">
        <v>17</v>
      </c>
      <c r="AQ19" s="1">
        <v>3570</v>
      </c>
      <c r="AR19" s="1">
        <v>7344</v>
      </c>
      <c r="AS19" s="1">
        <v>6768</v>
      </c>
      <c r="AT19" s="1">
        <v>527</v>
      </c>
      <c r="AU19" s="1">
        <v>4202</v>
      </c>
      <c r="AV19" s="1">
        <v>5060</v>
      </c>
      <c r="AW19" s="1">
        <v>5953</v>
      </c>
      <c r="AX19" s="1">
        <v>4254</v>
      </c>
      <c r="AY19" s="1">
        <v>5560</v>
      </c>
      <c r="AZ19" s="1">
        <v>3903</v>
      </c>
      <c r="BA19" s="1">
        <v>7548</v>
      </c>
      <c r="BB19" s="1">
        <v>2073</v>
      </c>
      <c r="BC19" s="1">
        <v>8359</v>
      </c>
      <c r="BD19" s="1">
        <v>1876</v>
      </c>
      <c r="BE19" s="1">
        <v>538</v>
      </c>
      <c r="BF19" s="1">
        <v>4340</v>
      </c>
      <c r="BG19" s="9">
        <v>71892</v>
      </c>
      <c r="BH19" s="1"/>
      <c r="BI19" s="1">
        <v>598</v>
      </c>
      <c r="BJ19" s="1">
        <v>3613</v>
      </c>
      <c r="BK19" s="1">
        <v>7384</v>
      </c>
      <c r="BL19" s="1">
        <v>6728</v>
      </c>
      <c r="BM19" s="1">
        <v>526</v>
      </c>
      <c r="BN19" s="1">
        <v>4194</v>
      </c>
      <c r="BO19" s="1">
        <v>5061</v>
      </c>
      <c r="BP19" s="1">
        <v>5962</v>
      </c>
      <c r="BQ19" s="1">
        <v>4268</v>
      </c>
      <c r="BR19" s="1">
        <v>5544</v>
      </c>
      <c r="BS19" s="1">
        <v>3529</v>
      </c>
      <c r="BT19" s="1">
        <v>7594</v>
      </c>
      <c r="BU19" s="1">
        <v>2086</v>
      </c>
      <c r="BV19" s="1">
        <v>8413</v>
      </c>
      <c r="BW19" s="1">
        <v>1913</v>
      </c>
      <c r="BX19" s="1">
        <v>549</v>
      </c>
      <c r="BY19" s="1">
        <v>4372</v>
      </c>
      <c r="BZ19" s="9">
        <v>72334</v>
      </c>
      <c r="CA19" s="1"/>
      <c r="CB19" s="1">
        <v>644</v>
      </c>
      <c r="CC19" s="1">
        <v>3654</v>
      </c>
      <c r="CD19" s="1">
        <v>7393</v>
      </c>
      <c r="CE19" s="1">
        <v>6750</v>
      </c>
      <c r="CF19" s="1">
        <v>519</v>
      </c>
      <c r="CG19" s="1">
        <v>4219</v>
      </c>
      <c r="CH19" s="1">
        <v>5100</v>
      </c>
      <c r="CI19" s="1">
        <v>5956</v>
      </c>
      <c r="CJ19" s="1">
        <v>4256</v>
      </c>
      <c r="CK19" s="1">
        <v>5517</v>
      </c>
      <c r="CL19" s="1">
        <v>3536</v>
      </c>
      <c r="CM19" s="1">
        <v>7615</v>
      </c>
      <c r="CN19" s="1">
        <v>2102</v>
      </c>
      <c r="CO19" s="1">
        <v>8404</v>
      </c>
      <c r="CP19" s="1">
        <v>1892</v>
      </c>
      <c r="CQ19" s="1">
        <v>556</v>
      </c>
      <c r="CR19" s="1">
        <v>4377</v>
      </c>
      <c r="CS19" s="9">
        <v>72490</v>
      </c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9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9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9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9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9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9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9"/>
      <c r="HW19" s="1"/>
      <c r="HX19" s="1">
        <v>17</v>
      </c>
      <c r="HY19" s="1">
        <v>3528</v>
      </c>
      <c r="HZ19" s="1">
        <v>7213</v>
      </c>
      <c r="IA19" s="1">
        <v>6544</v>
      </c>
      <c r="IB19" s="1">
        <v>523</v>
      </c>
      <c r="IC19" s="1">
        <v>4190</v>
      </c>
      <c r="ID19" s="1">
        <v>5013</v>
      </c>
      <c r="IE19" s="1">
        <v>5863</v>
      </c>
      <c r="IF19" s="1">
        <v>4196</v>
      </c>
      <c r="IG19" s="1">
        <v>5623</v>
      </c>
      <c r="IH19" s="1">
        <v>3730</v>
      </c>
      <c r="II19" s="1">
        <v>7636</v>
      </c>
      <c r="IJ19" s="1">
        <v>2059</v>
      </c>
      <c r="IK19" s="1">
        <v>8238</v>
      </c>
      <c r="IL19" s="1">
        <v>1781</v>
      </c>
      <c r="IM19" s="1">
        <v>535</v>
      </c>
      <c r="IN19" s="1">
        <v>4216</v>
      </c>
      <c r="IO19" s="1">
        <v>70905</v>
      </c>
    </row>
    <row r="20" spans="1:249" x14ac:dyDescent="0.4">
      <c r="A20" t="s">
        <v>49</v>
      </c>
      <c r="B20" t="s">
        <v>47</v>
      </c>
      <c r="C20" s="1"/>
      <c r="D20" s="1">
        <v>7</v>
      </c>
      <c r="E20" s="1">
        <v>813</v>
      </c>
      <c r="F20" s="1">
        <v>1694</v>
      </c>
      <c r="G20" s="1">
        <v>1627</v>
      </c>
      <c r="H20" s="1">
        <v>135</v>
      </c>
      <c r="I20" s="1">
        <v>787</v>
      </c>
      <c r="J20" s="1">
        <v>619</v>
      </c>
      <c r="K20" s="1">
        <v>1118</v>
      </c>
      <c r="L20" s="1">
        <v>1403</v>
      </c>
      <c r="M20" s="1">
        <v>2163</v>
      </c>
      <c r="N20" s="1">
        <v>808</v>
      </c>
      <c r="O20" s="1">
        <v>1299</v>
      </c>
      <c r="P20" s="1">
        <v>500</v>
      </c>
      <c r="Q20" s="1">
        <v>2064</v>
      </c>
      <c r="R20" s="1">
        <v>333</v>
      </c>
      <c r="S20" s="1">
        <v>175</v>
      </c>
      <c r="T20" s="1">
        <v>610</v>
      </c>
      <c r="U20" s="9">
        <v>16155</v>
      </c>
      <c r="V20" s="1"/>
      <c r="W20" s="1">
        <v>7</v>
      </c>
      <c r="X20" s="1">
        <v>809</v>
      </c>
      <c r="Y20" s="1">
        <v>1697</v>
      </c>
      <c r="Z20" s="1">
        <v>1608</v>
      </c>
      <c r="AA20" s="1">
        <v>134</v>
      </c>
      <c r="AB20" s="1">
        <v>791</v>
      </c>
      <c r="AC20" s="1">
        <v>621</v>
      </c>
      <c r="AD20" s="1">
        <v>1138</v>
      </c>
      <c r="AE20" s="1">
        <v>1429</v>
      </c>
      <c r="AF20" s="1">
        <v>2167</v>
      </c>
      <c r="AG20" s="1">
        <v>765</v>
      </c>
      <c r="AH20" s="1">
        <v>1300</v>
      </c>
      <c r="AI20" s="1">
        <v>500</v>
      </c>
      <c r="AJ20" s="1">
        <v>2067</v>
      </c>
      <c r="AK20" s="1">
        <v>330</v>
      </c>
      <c r="AL20" s="1">
        <v>176</v>
      </c>
      <c r="AM20" s="1">
        <v>613</v>
      </c>
      <c r="AN20" s="9">
        <v>16152</v>
      </c>
      <c r="AO20" s="1"/>
      <c r="AP20" s="1">
        <v>7</v>
      </c>
      <c r="AQ20" s="1">
        <v>805</v>
      </c>
      <c r="AR20" s="1">
        <v>1702</v>
      </c>
      <c r="AS20" s="1">
        <v>1593</v>
      </c>
      <c r="AT20" s="1">
        <v>137</v>
      </c>
      <c r="AU20" s="1">
        <v>794</v>
      </c>
      <c r="AV20" s="1">
        <v>617</v>
      </c>
      <c r="AW20" s="1">
        <v>1137</v>
      </c>
      <c r="AX20" s="1">
        <v>1425</v>
      </c>
      <c r="AY20" s="1">
        <v>2166</v>
      </c>
      <c r="AZ20" s="1">
        <v>760</v>
      </c>
      <c r="BA20" s="1">
        <v>1316</v>
      </c>
      <c r="BB20" s="1">
        <v>501</v>
      </c>
      <c r="BC20" s="1">
        <v>2079</v>
      </c>
      <c r="BD20" s="1">
        <v>328</v>
      </c>
      <c r="BE20" s="1">
        <v>179</v>
      </c>
      <c r="BF20" s="1">
        <v>614</v>
      </c>
      <c r="BG20" s="9">
        <v>16160</v>
      </c>
      <c r="BH20" s="1"/>
      <c r="BI20" s="1">
        <v>185</v>
      </c>
      <c r="BJ20" s="1">
        <v>810</v>
      </c>
      <c r="BK20" s="1">
        <v>1697</v>
      </c>
      <c r="BL20" s="1">
        <v>1585</v>
      </c>
      <c r="BM20" s="1">
        <v>136</v>
      </c>
      <c r="BN20" s="1">
        <v>794</v>
      </c>
      <c r="BO20" s="1">
        <v>618</v>
      </c>
      <c r="BP20" s="1">
        <v>1138</v>
      </c>
      <c r="BQ20" s="1">
        <v>1433</v>
      </c>
      <c r="BR20" s="1">
        <v>2161</v>
      </c>
      <c r="BS20" s="1">
        <v>675</v>
      </c>
      <c r="BT20" s="1">
        <v>1319</v>
      </c>
      <c r="BU20" s="1">
        <v>504</v>
      </c>
      <c r="BV20" s="1">
        <v>2007</v>
      </c>
      <c r="BW20" s="1">
        <v>325</v>
      </c>
      <c r="BX20" s="1">
        <v>179</v>
      </c>
      <c r="BY20" s="1">
        <v>618</v>
      </c>
      <c r="BZ20" s="9">
        <v>16184</v>
      </c>
      <c r="CA20" s="1"/>
      <c r="CB20" s="1">
        <v>237</v>
      </c>
      <c r="CC20" s="1">
        <v>806</v>
      </c>
      <c r="CD20" s="1">
        <v>1704</v>
      </c>
      <c r="CE20" s="1">
        <v>1588</v>
      </c>
      <c r="CF20" s="1">
        <v>136</v>
      </c>
      <c r="CG20" s="1">
        <v>785</v>
      </c>
      <c r="CH20" s="1">
        <v>617</v>
      </c>
      <c r="CI20" s="1">
        <v>1143</v>
      </c>
      <c r="CJ20" s="1">
        <v>1439</v>
      </c>
      <c r="CK20" s="1">
        <v>2163</v>
      </c>
      <c r="CL20" s="1">
        <v>669</v>
      </c>
      <c r="CM20" s="1">
        <v>1324</v>
      </c>
      <c r="CN20" s="1">
        <v>501</v>
      </c>
      <c r="CO20" s="1">
        <v>2048</v>
      </c>
      <c r="CP20" s="1">
        <v>327</v>
      </c>
      <c r="CQ20" s="1">
        <v>179</v>
      </c>
      <c r="CR20" s="1">
        <v>621</v>
      </c>
      <c r="CS20" s="9">
        <v>16287</v>
      </c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9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9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9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9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9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9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9"/>
      <c r="HW20" s="1"/>
      <c r="HX20" s="1">
        <v>4</v>
      </c>
      <c r="HY20" s="1">
        <v>809</v>
      </c>
      <c r="HZ20" s="1">
        <v>1697</v>
      </c>
      <c r="IA20" s="1">
        <v>1625</v>
      </c>
      <c r="IB20" s="1">
        <v>136</v>
      </c>
      <c r="IC20" s="1">
        <v>784</v>
      </c>
      <c r="ID20" s="1">
        <v>616</v>
      </c>
      <c r="IE20" s="1">
        <v>1090</v>
      </c>
      <c r="IF20" s="1">
        <v>1374</v>
      </c>
      <c r="IG20" s="1">
        <v>2136</v>
      </c>
      <c r="IH20" s="1">
        <v>808</v>
      </c>
      <c r="II20" s="1">
        <v>1308</v>
      </c>
      <c r="IJ20" s="1">
        <v>497</v>
      </c>
      <c r="IK20" s="1">
        <v>2067</v>
      </c>
      <c r="IL20" s="1">
        <v>331</v>
      </c>
      <c r="IM20" s="1">
        <v>174</v>
      </c>
      <c r="IN20" s="1">
        <v>610</v>
      </c>
      <c r="IO20" s="1">
        <v>16066</v>
      </c>
    </row>
    <row r="21" spans="1:249" s="6" customFormat="1" x14ac:dyDescent="0.4">
      <c r="A21" s="6" t="s">
        <v>49</v>
      </c>
      <c r="B21" s="6" t="s">
        <v>12</v>
      </c>
      <c r="C21" s="7">
        <v>1615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9">
        <v>1615</v>
      </c>
      <c r="V21" s="7">
        <v>1550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9">
        <v>1550</v>
      </c>
      <c r="AO21" s="7">
        <v>1391</v>
      </c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9">
        <v>1391</v>
      </c>
      <c r="BH21" s="7">
        <v>1212</v>
      </c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9">
        <v>1212</v>
      </c>
      <c r="CA21" s="7">
        <v>1231</v>
      </c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9">
        <v>1231</v>
      </c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9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9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9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9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9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9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9"/>
      <c r="HW21" s="7">
        <v>1907</v>
      </c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>
        <v>1907</v>
      </c>
    </row>
    <row r="22" spans="1:249" x14ac:dyDescent="0.4">
      <c r="A22" t="s">
        <v>49</v>
      </c>
      <c r="B22" t="s">
        <v>10</v>
      </c>
      <c r="C22" s="1"/>
      <c r="D22" s="1">
        <v>84</v>
      </c>
      <c r="E22" s="1">
        <v>96</v>
      </c>
      <c r="F22" s="1">
        <v>195</v>
      </c>
      <c r="G22" s="1">
        <v>234</v>
      </c>
      <c r="H22" s="1">
        <v>178</v>
      </c>
      <c r="I22" s="1">
        <v>54</v>
      </c>
      <c r="J22" s="1">
        <v>91</v>
      </c>
      <c r="K22" s="1">
        <v>249</v>
      </c>
      <c r="L22" s="1">
        <v>65</v>
      </c>
      <c r="M22" s="1">
        <v>254</v>
      </c>
      <c r="N22" s="1">
        <v>93</v>
      </c>
      <c r="O22" s="1">
        <v>171</v>
      </c>
      <c r="P22" s="1">
        <v>77</v>
      </c>
      <c r="Q22" s="1">
        <v>244</v>
      </c>
      <c r="R22" s="1">
        <v>51</v>
      </c>
      <c r="S22" s="1">
        <v>26</v>
      </c>
      <c r="T22" s="1">
        <v>118</v>
      </c>
      <c r="U22" s="9">
        <v>2280</v>
      </c>
      <c r="V22" s="1"/>
      <c r="W22" s="1">
        <v>30</v>
      </c>
      <c r="X22" s="1">
        <v>85</v>
      </c>
      <c r="Y22" s="1">
        <v>165</v>
      </c>
      <c r="Z22" s="1">
        <v>218</v>
      </c>
      <c r="AA22" s="1">
        <v>205</v>
      </c>
      <c r="AB22" s="1">
        <v>67</v>
      </c>
      <c r="AC22" s="1">
        <v>76</v>
      </c>
      <c r="AD22" s="1">
        <v>275</v>
      </c>
      <c r="AE22" s="1">
        <v>74</v>
      </c>
      <c r="AF22" s="1">
        <v>287</v>
      </c>
      <c r="AG22" s="1">
        <v>79</v>
      </c>
      <c r="AH22" s="1">
        <v>180</v>
      </c>
      <c r="AI22" s="1">
        <v>37</v>
      </c>
      <c r="AJ22" s="1">
        <v>172</v>
      </c>
      <c r="AK22" s="1">
        <v>50</v>
      </c>
      <c r="AL22" s="1">
        <v>33</v>
      </c>
      <c r="AM22" s="1">
        <v>106</v>
      </c>
      <c r="AN22" s="9">
        <v>2139</v>
      </c>
      <c r="AO22" s="1"/>
      <c r="AP22" s="1">
        <v>28</v>
      </c>
      <c r="AQ22" s="1">
        <v>89</v>
      </c>
      <c r="AR22" s="1">
        <v>136</v>
      </c>
      <c r="AS22" s="1">
        <v>193</v>
      </c>
      <c r="AT22" s="1">
        <v>197</v>
      </c>
      <c r="AU22" s="1">
        <v>91</v>
      </c>
      <c r="AV22" s="1">
        <v>76</v>
      </c>
      <c r="AW22" s="1">
        <v>270</v>
      </c>
      <c r="AX22" s="1">
        <v>77</v>
      </c>
      <c r="AY22" s="1">
        <v>287</v>
      </c>
      <c r="AZ22" s="1">
        <v>76</v>
      </c>
      <c r="BA22" s="1">
        <v>132</v>
      </c>
      <c r="BB22" s="1">
        <v>46</v>
      </c>
      <c r="BC22" s="1">
        <v>152</v>
      </c>
      <c r="BD22" s="1">
        <v>57</v>
      </c>
      <c r="BE22" s="1">
        <v>29</v>
      </c>
      <c r="BF22" s="1">
        <v>92</v>
      </c>
      <c r="BG22" s="9">
        <v>2028</v>
      </c>
      <c r="BH22" s="1"/>
      <c r="BI22" s="1">
        <v>38</v>
      </c>
      <c r="BJ22" s="1">
        <v>83</v>
      </c>
      <c r="BK22" s="1">
        <v>119</v>
      </c>
      <c r="BL22" s="1">
        <v>159</v>
      </c>
      <c r="BM22" s="1">
        <v>190</v>
      </c>
      <c r="BN22" s="1">
        <v>91</v>
      </c>
      <c r="BO22" s="1">
        <v>79</v>
      </c>
      <c r="BP22" s="1">
        <v>249</v>
      </c>
      <c r="BQ22" s="1">
        <v>80</v>
      </c>
      <c r="BR22" s="1">
        <v>169</v>
      </c>
      <c r="BS22" s="1">
        <v>91</v>
      </c>
      <c r="BT22" s="1">
        <v>116</v>
      </c>
      <c r="BU22" s="1">
        <v>37</v>
      </c>
      <c r="BV22" s="1">
        <v>138</v>
      </c>
      <c r="BW22" s="1">
        <v>51</v>
      </c>
      <c r="BX22" s="1">
        <v>35</v>
      </c>
      <c r="BY22" s="1">
        <v>74</v>
      </c>
      <c r="BZ22" s="9">
        <v>1799</v>
      </c>
      <c r="CA22" s="1"/>
      <c r="CB22" s="1">
        <v>30</v>
      </c>
      <c r="CC22" s="1">
        <v>83</v>
      </c>
      <c r="CD22" s="1">
        <v>107</v>
      </c>
      <c r="CE22" s="1">
        <v>155</v>
      </c>
      <c r="CF22" s="1">
        <v>119</v>
      </c>
      <c r="CG22" s="1">
        <v>88</v>
      </c>
      <c r="CH22" s="1">
        <v>74</v>
      </c>
      <c r="CI22" s="1">
        <v>213</v>
      </c>
      <c r="CJ22" s="1">
        <v>63</v>
      </c>
      <c r="CK22" s="1">
        <v>156</v>
      </c>
      <c r="CL22" s="1">
        <v>91</v>
      </c>
      <c r="CM22" s="1">
        <v>102</v>
      </c>
      <c r="CN22" s="1">
        <v>34</v>
      </c>
      <c r="CO22" s="1">
        <v>125</v>
      </c>
      <c r="CP22" s="1">
        <v>51</v>
      </c>
      <c r="CQ22" s="1">
        <v>38</v>
      </c>
      <c r="CR22" s="1">
        <v>61</v>
      </c>
      <c r="CS22" s="9">
        <v>1590</v>
      </c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9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9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9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9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9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9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9"/>
      <c r="HW22" s="1"/>
      <c r="HX22" s="1">
        <v>118</v>
      </c>
      <c r="HY22" s="1">
        <v>170</v>
      </c>
      <c r="HZ22" s="1">
        <v>274</v>
      </c>
      <c r="IA22" s="1">
        <v>407</v>
      </c>
      <c r="IB22" s="1">
        <v>241</v>
      </c>
      <c r="IC22" s="1">
        <v>118</v>
      </c>
      <c r="ID22" s="1">
        <v>126</v>
      </c>
      <c r="IE22" s="1">
        <v>309</v>
      </c>
      <c r="IF22" s="1">
        <v>116</v>
      </c>
      <c r="IG22" s="1">
        <v>385</v>
      </c>
      <c r="IH22" s="1">
        <v>172</v>
      </c>
      <c r="II22" s="1">
        <v>222</v>
      </c>
      <c r="IJ22" s="1">
        <v>113</v>
      </c>
      <c r="IK22" s="1">
        <v>422</v>
      </c>
      <c r="IL22" s="1">
        <v>57</v>
      </c>
      <c r="IM22" s="1">
        <v>48</v>
      </c>
      <c r="IN22" s="1">
        <v>144</v>
      </c>
      <c r="IO22" s="1">
        <v>3442</v>
      </c>
    </row>
    <row r="23" spans="1:249" x14ac:dyDescent="0.4">
      <c r="A23" t="s">
        <v>49</v>
      </c>
      <c r="B23" t="s">
        <v>11</v>
      </c>
      <c r="C23" s="1"/>
      <c r="D23" s="1"/>
      <c r="E23" s="1">
        <v>273</v>
      </c>
      <c r="F23" s="1">
        <v>660</v>
      </c>
      <c r="G23" s="1">
        <v>601</v>
      </c>
      <c r="H23" s="1">
        <v>14</v>
      </c>
      <c r="I23" s="1">
        <v>194</v>
      </c>
      <c r="J23" s="1">
        <v>176</v>
      </c>
      <c r="K23" s="1">
        <v>249</v>
      </c>
      <c r="L23" s="1">
        <v>96</v>
      </c>
      <c r="M23" s="1">
        <v>211</v>
      </c>
      <c r="N23" s="1">
        <v>435</v>
      </c>
      <c r="O23" s="1">
        <v>457</v>
      </c>
      <c r="P23" s="1">
        <v>24</v>
      </c>
      <c r="Q23" s="1">
        <v>409</v>
      </c>
      <c r="R23" s="1">
        <v>135</v>
      </c>
      <c r="S23" s="1">
        <v>6</v>
      </c>
      <c r="T23" s="1">
        <v>216</v>
      </c>
      <c r="U23" s="9">
        <f>4156+33</f>
        <v>4189</v>
      </c>
      <c r="V23" s="1"/>
      <c r="W23" s="1"/>
      <c r="X23" s="1">
        <v>253</v>
      </c>
      <c r="Y23" s="1">
        <v>628</v>
      </c>
      <c r="Z23" s="1">
        <v>616</v>
      </c>
      <c r="AA23" s="1">
        <v>15</v>
      </c>
      <c r="AB23" s="1">
        <v>194</v>
      </c>
      <c r="AC23" s="1">
        <v>198</v>
      </c>
      <c r="AD23" s="1">
        <v>234</v>
      </c>
      <c r="AE23" s="1">
        <v>88</v>
      </c>
      <c r="AF23" s="1">
        <v>229</v>
      </c>
      <c r="AG23" s="1">
        <v>438</v>
      </c>
      <c r="AH23" s="1">
        <v>451</v>
      </c>
      <c r="AI23" s="1">
        <v>27</v>
      </c>
      <c r="AJ23" s="1">
        <v>438</v>
      </c>
      <c r="AK23" s="1">
        <v>136</v>
      </c>
      <c r="AL23" s="1">
        <v>12</v>
      </c>
      <c r="AM23" s="1">
        <v>232</v>
      </c>
      <c r="AN23" s="9">
        <f>4189+71</f>
        <v>4260</v>
      </c>
      <c r="AO23" s="1"/>
      <c r="AP23" s="1"/>
      <c r="AQ23" s="1">
        <v>236</v>
      </c>
      <c r="AR23" s="1">
        <v>626</v>
      </c>
      <c r="AS23" s="1">
        <v>541</v>
      </c>
      <c r="AT23" s="1">
        <v>18</v>
      </c>
      <c r="AU23" s="1">
        <v>157</v>
      </c>
      <c r="AV23" s="1">
        <v>226</v>
      </c>
      <c r="AW23" s="1">
        <v>218</v>
      </c>
      <c r="AX23" s="1">
        <v>81</v>
      </c>
      <c r="AY23" s="1">
        <v>234</v>
      </c>
      <c r="AZ23" s="1">
        <v>443</v>
      </c>
      <c r="BA23" s="1">
        <v>464</v>
      </c>
      <c r="BB23" s="1">
        <v>29</v>
      </c>
      <c r="BC23" s="1">
        <v>469</v>
      </c>
      <c r="BD23" s="1">
        <v>144</v>
      </c>
      <c r="BE23" s="1">
        <v>11</v>
      </c>
      <c r="BF23" s="1">
        <v>178</v>
      </c>
      <c r="BG23" s="9">
        <f>4075+52</f>
        <v>4127</v>
      </c>
      <c r="BH23" s="1"/>
      <c r="BI23" s="1">
        <v>8</v>
      </c>
      <c r="BJ23" s="1">
        <v>268</v>
      </c>
      <c r="BK23" s="1">
        <v>626</v>
      </c>
      <c r="BL23" s="1">
        <v>560</v>
      </c>
      <c r="BM23" s="1">
        <v>29</v>
      </c>
      <c r="BN23" s="1">
        <v>132</v>
      </c>
      <c r="BO23" s="1">
        <v>259</v>
      </c>
      <c r="BP23" s="1">
        <v>238</v>
      </c>
      <c r="BQ23" s="1">
        <v>116</v>
      </c>
      <c r="BR23" s="1">
        <v>309</v>
      </c>
      <c r="BS23" s="1">
        <v>489</v>
      </c>
      <c r="BT23" s="1">
        <v>483</v>
      </c>
      <c r="BU23" s="1">
        <v>55</v>
      </c>
      <c r="BV23" s="1">
        <v>518</v>
      </c>
      <c r="BW23" s="1">
        <v>144</v>
      </c>
      <c r="BX23" s="1">
        <v>12</v>
      </c>
      <c r="BY23" s="1">
        <v>188</v>
      </c>
      <c r="BZ23" s="9">
        <v>4434</v>
      </c>
      <c r="CA23" s="1"/>
      <c r="CB23" s="1">
        <v>16</v>
      </c>
      <c r="CC23" s="1">
        <v>293</v>
      </c>
      <c r="CD23" s="1">
        <v>591</v>
      </c>
      <c r="CE23" s="1">
        <v>598</v>
      </c>
      <c r="CF23" s="1">
        <v>88</v>
      </c>
      <c r="CG23" s="1">
        <v>121</v>
      </c>
      <c r="CH23" s="1">
        <v>277</v>
      </c>
      <c r="CI23" s="1">
        <v>215</v>
      </c>
      <c r="CJ23" s="1">
        <v>118</v>
      </c>
      <c r="CK23" s="1">
        <v>395</v>
      </c>
      <c r="CL23" s="1">
        <v>508</v>
      </c>
      <c r="CM23" s="1">
        <v>479</v>
      </c>
      <c r="CN23" s="1">
        <v>67</v>
      </c>
      <c r="CO23" s="1">
        <v>585</v>
      </c>
      <c r="CP23" s="1">
        <v>167</v>
      </c>
      <c r="CQ23" s="1">
        <v>12</v>
      </c>
      <c r="CR23" s="1">
        <v>199</v>
      </c>
      <c r="CS23" s="9">
        <v>4729</v>
      </c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9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9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9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9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9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9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9"/>
      <c r="HW23" s="1"/>
      <c r="HX23" s="1"/>
      <c r="HY23" s="1">
        <v>251</v>
      </c>
      <c r="HZ23" s="1">
        <v>687</v>
      </c>
      <c r="IA23" s="1">
        <v>806</v>
      </c>
      <c r="IB23" s="1">
        <v>33</v>
      </c>
      <c r="IC23" s="1">
        <v>225</v>
      </c>
      <c r="ID23" s="1">
        <v>210</v>
      </c>
      <c r="IE23" s="1">
        <v>279</v>
      </c>
      <c r="IF23" s="1">
        <v>158</v>
      </c>
      <c r="IG23" s="1">
        <v>310</v>
      </c>
      <c r="IH23" s="1">
        <v>512</v>
      </c>
      <c r="II23" s="1">
        <v>507</v>
      </c>
      <c r="IJ23" s="1">
        <v>41</v>
      </c>
      <c r="IK23" s="1">
        <v>597</v>
      </c>
      <c r="IL23" s="1">
        <v>242</v>
      </c>
      <c r="IM23" s="1">
        <v>4</v>
      </c>
      <c r="IN23" s="1">
        <v>263</v>
      </c>
      <c r="IO23" s="1">
        <v>5184</v>
      </c>
    </row>
    <row r="24" spans="1:249" s="6" customFormat="1" x14ac:dyDescent="0.4">
      <c r="A24" s="6" t="s">
        <v>49</v>
      </c>
      <c r="B24" s="6" t="s">
        <v>31</v>
      </c>
      <c r="C24" s="7">
        <v>47344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9">
        <v>47344</v>
      </c>
      <c r="V24" s="7">
        <v>47452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9">
        <v>47452</v>
      </c>
      <c r="AO24" s="7">
        <v>47318</v>
      </c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9">
        <v>47318</v>
      </c>
      <c r="BH24" s="7">
        <v>46926</v>
      </c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9">
        <v>46926</v>
      </c>
      <c r="CA24" s="7">
        <v>46909</v>
      </c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9">
        <v>46909</v>
      </c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9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9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9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9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9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9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9"/>
      <c r="HW24" s="7">
        <v>47387</v>
      </c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>
        <v>47387</v>
      </c>
    </row>
    <row r="25" spans="1:249" x14ac:dyDescent="0.4">
      <c r="A25" t="s">
        <v>49</v>
      </c>
      <c r="B25" t="s">
        <v>32</v>
      </c>
      <c r="C25" s="1"/>
      <c r="D25" s="1">
        <v>2251</v>
      </c>
      <c r="E25" s="1">
        <v>4538</v>
      </c>
      <c r="F25" s="1">
        <v>5816</v>
      </c>
      <c r="G25" s="1">
        <v>5261</v>
      </c>
      <c r="H25" s="1">
        <v>5496</v>
      </c>
      <c r="I25" s="1">
        <v>1858</v>
      </c>
      <c r="J25" s="1">
        <v>4255</v>
      </c>
      <c r="K25" s="1">
        <v>5453</v>
      </c>
      <c r="L25" s="1">
        <v>4663</v>
      </c>
      <c r="M25" s="1">
        <v>4675</v>
      </c>
      <c r="N25" s="1">
        <v>4029</v>
      </c>
      <c r="O25" s="1">
        <v>3644</v>
      </c>
      <c r="P25" s="1">
        <v>2317</v>
      </c>
      <c r="Q25" s="1">
        <v>3772</v>
      </c>
      <c r="R25" s="1">
        <v>2592</v>
      </c>
      <c r="S25" s="1">
        <v>1723</v>
      </c>
      <c r="T25" s="1">
        <v>1913</v>
      </c>
      <c r="U25" s="9">
        <v>64256</v>
      </c>
      <c r="V25" s="1"/>
      <c r="W25" s="1">
        <v>2251</v>
      </c>
      <c r="X25" s="1">
        <v>4542</v>
      </c>
      <c r="Y25" s="1">
        <v>5802</v>
      </c>
      <c r="Z25" s="1">
        <v>5289</v>
      </c>
      <c r="AA25" s="1">
        <v>5549</v>
      </c>
      <c r="AB25" s="1">
        <v>1869</v>
      </c>
      <c r="AC25" s="1">
        <v>4256</v>
      </c>
      <c r="AD25" s="1">
        <v>5466</v>
      </c>
      <c r="AE25" s="1">
        <v>4673</v>
      </c>
      <c r="AF25" s="1">
        <v>4698</v>
      </c>
      <c r="AG25" s="1">
        <v>4031</v>
      </c>
      <c r="AH25" s="1">
        <v>3667</v>
      </c>
      <c r="AI25" s="1">
        <v>2316</v>
      </c>
      <c r="AJ25" s="1">
        <v>3822</v>
      </c>
      <c r="AK25" s="1">
        <v>2611</v>
      </c>
      <c r="AL25" s="1">
        <v>1735</v>
      </c>
      <c r="AM25" s="1">
        <v>1913</v>
      </c>
      <c r="AN25" s="9">
        <v>64490</v>
      </c>
      <c r="AO25" s="1"/>
      <c r="AP25" s="1">
        <v>2299</v>
      </c>
      <c r="AQ25" s="1">
        <v>4569</v>
      </c>
      <c r="AR25" s="1">
        <v>5793</v>
      </c>
      <c r="AS25" s="1">
        <v>5308</v>
      </c>
      <c r="AT25" s="1">
        <v>5550</v>
      </c>
      <c r="AU25" s="1">
        <v>1916</v>
      </c>
      <c r="AV25" s="1">
        <v>4268</v>
      </c>
      <c r="AW25" s="1">
        <v>5466</v>
      </c>
      <c r="AX25" s="1">
        <v>4669</v>
      </c>
      <c r="AY25" s="1">
        <v>4754</v>
      </c>
      <c r="AZ25" s="1">
        <v>3935</v>
      </c>
      <c r="BA25" s="1">
        <v>3661</v>
      </c>
      <c r="BB25" s="1">
        <v>2312</v>
      </c>
      <c r="BC25" s="1">
        <v>3829</v>
      </c>
      <c r="BD25" s="1">
        <v>2620</v>
      </c>
      <c r="BE25" s="1">
        <v>1783</v>
      </c>
      <c r="BF25" s="1">
        <v>1916</v>
      </c>
      <c r="BG25" s="9">
        <v>64648</v>
      </c>
      <c r="BH25" s="1"/>
      <c r="BI25" s="1">
        <v>2615</v>
      </c>
      <c r="BJ25" s="1">
        <v>4567</v>
      </c>
      <c r="BK25" s="1">
        <v>5795</v>
      </c>
      <c r="BL25" s="1">
        <v>5319</v>
      </c>
      <c r="BM25" s="1">
        <v>5576</v>
      </c>
      <c r="BN25" s="1">
        <v>1921</v>
      </c>
      <c r="BO25" s="1">
        <v>4270</v>
      </c>
      <c r="BP25" s="1">
        <v>5457</v>
      </c>
      <c r="BQ25" s="1">
        <v>4679</v>
      </c>
      <c r="BR25" s="1">
        <v>4737</v>
      </c>
      <c r="BS25" s="1">
        <v>4032</v>
      </c>
      <c r="BT25" s="1">
        <v>3648</v>
      </c>
      <c r="BU25" s="1">
        <v>2336</v>
      </c>
      <c r="BV25" s="1">
        <v>3608</v>
      </c>
      <c r="BW25" s="1">
        <v>2627</v>
      </c>
      <c r="BX25" s="1">
        <v>1795</v>
      </c>
      <c r="BY25" s="1">
        <v>1918</v>
      </c>
      <c r="BZ25" s="9">
        <v>64900</v>
      </c>
      <c r="CA25" s="1"/>
      <c r="CB25" s="1">
        <v>2483</v>
      </c>
      <c r="CC25" s="1">
        <v>4542</v>
      </c>
      <c r="CD25" s="1">
        <v>5765</v>
      </c>
      <c r="CE25" s="1">
        <v>5271</v>
      </c>
      <c r="CF25" s="1">
        <v>5547</v>
      </c>
      <c r="CG25" s="1">
        <v>1919</v>
      </c>
      <c r="CH25" s="1">
        <v>4244</v>
      </c>
      <c r="CI25" s="1">
        <v>5438</v>
      </c>
      <c r="CJ25" s="1">
        <v>4661</v>
      </c>
      <c r="CK25" s="1">
        <v>4749</v>
      </c>
      <c r="CL25" s="1">
        <v>4000</v>
      </c>
      <c r="CM25" s="1">
        <v>3607</v>
      </c>
      <c r="CN25" s="1">
        <v>2338</v>
      </c>
      <c r="CO25" s="1">
        <v>3557</v>
      </c>
      <c r="CP25" s="1">
        <v>2611</v>
      </c>
      <c r="CQ25" s="1">
        <v>1789</v>
      </c>
      <c r="CR25" s="1">
        <v>1955</v>
      </c>
      <c r="CS25" s="9">
        <v>64476</v>
      </c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9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9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9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9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9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9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9"/>
      <c r="HW25" s="1"/>
      <c r="HX25" s="1">
        <v>2274</v>
      </c>
      <c r="HY25" s="1">
        <v>4577</v>
      </c>
      <c r="HZ25" s="1">
        <v>5809</v>
      </c>
      <c r="IA25" s="1">
        <v>5240</v>
      </c>
      <c r="IB25" s="1">
        <v>5375</v>
      </c>
      <c r="IC25" s="1">
        <v>1831</v>
      </c>
      <c r="ID25" s="1">
        <v>4255</v>
      </c>
      <c r="IE25" s="1">
        <v>5399</v>
      </c>
      <c r="IF25" s="1">
        <v>4625</v>
      </c>
      <c r="IG25" s="1">
        <v>4644</v>
      </c>
      <c r="IH25" s="1">
        <v>4028</v>
      </c>
      <c r="II25" s="1">
        <v>3643</v>
      </c>
      <c r="IJ25" s="1">
        <v>2316</v>
      </c>
      <c r="IK25" s="1">
        <v>3617</v>
      </c>
      <c r="IL25" s="1">
        <v>2601</v>
      </c>
      <c r="IM25" s="1">
        <v>1728</v>
      </c>
      <c r="IN25" s="1">
        <v>1899</v>
      </c>
      <c r="IO25" s="1">
        <v>63861</v>
      </c>
    </row>
    <row r="26" spans="1:249" x14ac:dyDescent="0.4">
      <c r="A26" t="s">
        <v>49</v>
      </c>
      <c r="B26" t="s">
        <v>50</v>
      </c>
      <c r="C26" s="1"/>
      <c r="D26" s="1">
        <v>24</v>
      </c>
      <c r="E26" s="1">
        <v>4630</v>
      </c>
      <c r="F26" s="1">
        <v>9729</v>
      </c>
      <c r="G26" s="1">
        <v>9059</v>
      </c>
      <c r="H26" s="1">
        <v>684</v>
      </c>
      <c r="I26" s="1">
        <v>5207</v>
      </c>
      <c r="J26" s="1">
        <v>5897</v>
      </c>
      <c r="K26" s="1">
        <v>7286</v>
      </c>
      <c r="L26" s="1">
        <v>5749</v>
      </c>
      <c r="M26" s="1">
        <v>8036</v>
      </c>
      <c r="N26" s="1">
        <v>5089</v>
      </c>
      <c r="O26" s="1">
        <v>9392</v>
      </c>
      <c r="P26" s="1">
        <v>2597</v>
      </c>
      <c r="Q26" s="1">
        <v>10833</v>
      </c>
      <c r="R26" s="1">
        <v>2348</v>
      </c>
      <c r="S26" s="1">
        <v>719</v>
      </c>
      <c r="T26" s="1">
        <v>5093</v>
      </c>
      <c r="U26" s="9">
        <f>92372+33</f>
        <v>92405</v>
      </c>
      <c r="V26" s="1"/>
      <c r="W26" s="1">
        <v>24</v>
      </c>
      <c r="X26" s="1">
        <v>4592</v>
      </c>
      <c r="Y26" s="1">
        <v>9730</v>
      </c>
      <c r="Z26" s="1">
        <v>9079</v>
      </c>
      <c r="AA26" s="1">
        <v>679</v>
      </c>
      <c r="AB26" s="1">
        <v>5204</v>
      </c>
      <c r="AC26" s="1">
        <v>5929</v>
      </c>
      <c r="AD26" s="1">
        <v>7309</v>
      </c>
      <c r="AE26" s="1">
        <v>5771</v>
      </c>
      <c r="AF26" s="1">
        <v>8045</v>
      </c>
      <c r="AG26" s="1">
        <v>5125</v>
      </c>
      <c r="AH26" s="1">
        <v>9376</v>
      </c>
      <c r="AI26" s="1">
        <v>2604</v>
      </c>
      <c r="AJ26" s="1">
        <v>10864</v>
      </c>
      <c r="AK26" s="1">
        <v>2347</v>
      </c>
      <c r="AL26" s="1">
        <v>729</v>
      </c>
      <c r="AM26" s="1">
        <v>5135</v>
      </c>
      <c r="AN26" s="9">
        <f>92542+71</f>
        <v>92613</v>
      </c>
      <c r="AO26" s="1"/>
      <c r="AP26" s="1">
        <v>24</v>
      </c>
      <c r="AQ26" s="1">
        <v>4631</v>
      </c>
      <c r="AR26" s="1">
        <v>9746</v>
      </c>
      <c r="AS26" s="1">
        <v>9090</v>
      </c>
      <c r="AT26" s="1">
        <v>682</v>
      </c>
      <c r="AU26" s="1">
        <v>5204</v>
      </c>
      <c r="AV26" s="1">
        <v>5935</v>
      </c>
      <c r="AW26" s="1">
        <v>7332</v>
      </c>
      <c r="AX26" s="1">
        <v>5776</v>
      </c>
      <c r="AY26" s="1">
        <v>7995</v>
      </c>
      <c r="AZ26" s="1">
        <v>5164</v>
      </c>
      <c r="BA26" s="1">
        <v>9384</v>
      </c>
      <c r="BB26" s="1">
        <v>2608</v>
      </c>
      <c r="BC26" s="1">
        <v>10935</v>
      </c>
      <c r="BD26" s="1">
        <v>2356</v>
      </c>
      <c r="BE26" s="1">
        <v>729</v>
      </c>
      <c r="BF26" s="1">
        <v>5147</v>
      </c>
      <c r="BG26" s="9">
        <v>92790</v>
      </c>
      <c r="BH26" s="1"/>
      <c r="BI26" s="1">
        <v>798</v>
      </c>
      <c r="BJ26" s="1">
        <v>4721</v>
      </c>
      <c r="BK26" s="1">
        <v>9907</v>
      </c>
      <c r="BL26" s="1">
        <v>9033</v>
      </c>
      <c r="BM26" s="1">
        <v>695</v>
      </c>
      <c r="BN26" s="1">
        <v>5217</v>
      </c>
      <c r="BO26" s="1">
        <v>6011</v>
      </c>
      <c r="BP26" s="1">
        <v>7361</v>
      </c>
      <c r="BQ26" s="1">
        <v>5822</v>
      </c>
      <c r="BR26" s="1">
        <v>8058</v>
      </c>
      <c r="BS26" s="1">
        <v>4760</v>
      </c>
      <c r="BT26" s="1">
        <v>9445</v>
      </c>
      <c r="BU26" s="1">
        <v>2646</v>
      </c>
      <c r="BV26" s="1">
        <v>10990</v>
      </c>
      <c r="BW26" s="1">
        <v>2388</v>
      </c>
      <c r="BX26" s="1">
        <v>746</v>
      </c>
      <c r="BY26" s="1">
        <v>5185</v>
      </c>
      <c r="BZ26" s="9">
        <v>93783</v>
      </c>
      <c r="CA26" s="1"/>
      <c r="CB26" s="1">
        <v>915</v>
      </c>
      <c r="CC26" s="1">
        <v>4783</v>
      </c>
      <c r="CD26" s="1">
        <v>9827</v>
      </c>
      <c r="CE26" s="1">
        <v>9054</v>
      </c>
      <c r="CF26" s="1">
        <v>745</v>
      </c>
      <c r="CG26" s="1">
        <v>5240</v>
      </c>
      <c r="CH26" s="1">
        <v>6050</v>
      </c>
      <c r="CI26" s="1">
        <v>7371</v>
      </c>
      <c r="CJ26" s="1">
        <v>5830</v>
      </c>
      <c r="CK26" s="1">
        <v>8123</v>
      </c>
      <c r="CL26" s="1">
        <v>4784</v>
      </c>
      <c r="CM26" s="1">
        <v>9483</v>
      </c>
      <c r="CN26" s="1">
        <v>2678</v>
      </c>
      <c r="CO26" s="1">
        <v>11109</v>
      </c>
      <c r="CP26" s="1">
        <v>2393</v>
      </c>
      <c r="CQ26" s="1">
        <v>748</v>
      </c>
      <c r="CR26" s="1">
        <v>5200</v>
      </c>
      <c r="CS26" s="9">
        <v>94333</v>
      </c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9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9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9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9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9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9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9"/>
      <c r="HW26" s="1"/>
      <c r="HX26" s="1">
        <v>21</v>
      </c>
      <c r="HY26" s="1">
        <v>4589</v>
      </c>
      <c r="HZ26" s="1">
        <v>9658</v>
      </c>
      <c r="IA26" s="1">
        <v>9015</v>
      </c>
      <c r="IB26" s="1">
        <v>702</v>
      </c>
      <c r="IC26" s="1">
        <v>5201</v>
      </c>
      <c r="ID26" s="1">
        <v>5873</v>
      </c>
      <c r="IE26" s="1">
        <v>7232</v>
      </c>
      <c r="IF26" s="1">
        <v>5728</v>
      </c>
      <c r="IG26" s="1">
        <v>8074</v>
      </c>
      <c r="IH26" s="1">
        <v>5052</v>
      </c>
      <c r="II26" s="1">
        <v>9455</v>
      </c>
      <c r="IJ26" s="1">
        <v>2599</v>
      </c>
      <c r="IK26" s="1">
        <v>10902</v>
      </c>
      <c r="IL26" s="1">
        <v>2357</v>
      </c>
      <c r="IM26" s="1">
        <v>713</v>
      </c>
      <c r="IN26" s="1">
        <v>5102</v>
      </c>
      <c r="IO26" s="1">
        <v>92332</v>
      </c>
    </row>
    <row r="27" spans="1:249" s="6" customFormat="1" x14ac:dyDescent="0.4">
      <c r="A27" s="6" t="s">
        <v>43</v>
      </c>
      <c r="B27" s="6" t="s">
        <v>33</v>
      </c>
      <c r="C27" s="7"/>
      <c r="D27" s="7">
        <v>4</v>
      </c>
      <c r="E27" s="7">
        <v>117</v>
      </c>
      <c r="F27" s="7">
        <v>146</v>
      </c>
      <c r="G27" s="7">
        <v>126</v>
      </c>
      <c r="H27" s="7">
        <v>60</v>
      </c>
      <c r="I27" s="7">
        <v>49</v>
      </c>
      <c r="J27" s="7">
        <v>212</v>
      </c>
      <c r="K27" s="7">
        <v>111</v>
      </c>
      <c r="L27" s="7">
        <v>29</v>
      </c>
      <c r="M27" s="7">
        <v>143</v>
      </c>
      <c r="N27" s="7">
        <v>107</v>
      </c>
      <c r="O27" s="7">
        <v>53</v>
      </c>
      <c r="P27" s="7">
        <v>75</v>
      </c>
      <c r="Q27" s="7">
        <v>130</v>
      </c>
      <c r="R27" s="7">
        <v>12</v>
      </c>
      <c r="S27" s="7">
        <v>93</v>
      </c>
      <c r="T27" s="7">
        <v>18</v>
      </c>
      <c r="U27" s="9">
        <v>1485</v>
      </c>
      <c r="V27" s="7"/>
      <c r="W27" s="7">
        <v>10</v>
      </c>
      <c r="X27" s="7">
        <v>45</v>
      </c>
      <c r="Y27" s="7">
        <v>66</v>
      </c>
      <c r="Z27" s="7">
        <v>49</v>
      </c>
      <c r="AA27" s="7">
        <v>38</v>
      </c>
      <c r="AB27" s="7">
        <v>40</v>
      </c>
      <c r="AC27" s="7">
        <v>33</v>
      </c>
      <c r="AD27" s="7">
        <v>61</v>
      </c>
      <c r="AE27" s="7">
        <v>15</v>
      </c>
      <c r="AF27" s="7">
        <v>25</v>
      </c>
      <c r="AG27" s="7">
        <v>38</v>
      </c>
      <c r="AH27" s="7">
        <v>9</v>
      </c>
      <c r="AI27" s="7">
        <v>33</v>
      </c>
      <c r="AJ27" s="7">
        <v>94</v>
      </c>
      <c r="AK27" s="7">
        <v>7</v>
      </c>
      <c r="AL27" s="7">
        <v>24</v>
      </c>
      <c r="AM27" s="7">
        <v>6</v>
      </c>
      <c r="AN27" s="9">
        <v>593</v>
      </c>
      <c r="AO27" s="7"/>
      <c r="AP27" s="7">
        <v>5</v>
      </c>
      <c r="AQ27" s="7">
        <v>67</v>
      </c>
      <c r="AR27" s="7">
        <v>140</v>
      </c>
      <c r="AS27" s="7">
        <v>122</v>
      </c>
      <c r="AT27" s="7">
        <v>42</v>
      </c>
      <c r="AU27" s="7">
        <v>48</v>
      </c>
      <c r="AV27" s="7">
        <v>122</v>
      </c>
      <c r="AW27" s="7">
        <v>64</v>
      </c>
      <c r="AX27" s="7">
        <v>21</v>
      </c>
      <c r="AY27" s="7">
        <v>48</v>
      </c>
      <c r="AZ27" s="7">
        <v>44</v>
      </c>
      <c r="BA27" s="7">
        <v>9</v>
      </c>
      <c r="BB27" s="7">
        <v>26</v>
      </c>
      <c r="BC27" s="7">
        <v>33</v>
      </c>
      <c r="BD27" s="7">
        <v>29</v>
      </c>
      <c r="BE27" s="7">
        <v>52</v>
      </c>
      <c r="BF27" s="7">
        <v>30</v>
      </c>
      <c r="BG27" s="9">
        <v>902</v>
      </c>
      <c r="BH27" s="7"/>
      <c r="BI27" s="7">
        <v>104</v>
      </c>
      <c r="BJ27" s="7">
        <v>46</v>
      </c>
      <c r="BK27" s="7">
        <v>47</v>
      </c>
      <c r="BL27" s="7">
        <v>37</v>
      </c>
      <c r="BM27" s="7">
        <v>18</v>
      </c>
      <c r="BN27" s="7">
        <v>35</v>
      </c>
      <c r="BO27" s="7">
        <v>57</v>
      </c>
      <c r="BP27" s="7">
        <v>79</v>
      </c>
      <c r="BQ27" s="7">
        <v>83</v>
      </c>
      <c r="BR27" s="7">
        <v>107</v>
      </c>
      <c r="BS27" s="7">
        <v>82</v>
      </c>
      <c r="BT27" s="7">
        <v>35</v>
      </c>
      <c r="BU27" s="7">
        <v>39</v>
      </c>
      <c r="BV27" s="7">
        <v>173</v>
      </c>
      <c r="BW27" s="7">
        <v>8</v>
      </c>
      <c r="BX27" s="7">
        <v>42</v>
      </c>
      <c r="BY27" s="7">
        <v>13</v>
      </c>
      <c r="BZ27" s="9">
        <v>1005</v>
      </c>
      <c r="CA27" s="7"/>
      <c r="CB27" s="7">
        <v>8</v>
      </c>
      <c r="CC27" s="7">
        <v>45</v>
      </c>
      <c r="CD27" s="7">
        <v>60</v>
      </c>
      <c r="CE27" s="7">
        <v>49</v>
      </c>
      <c r="CF27" s="7">
        <v>17</v>
      </c>
      <c r="CG27" s="7">
        <v>33</v>
      </c>
      <c r="CH27" s="7">
        <v>40</v>
      </c>
      <c r="CI27" s="7">
        <v>100</v>
      </c>
      <c r="CJ27" s="7">
        <v>34</v>
      </c>
      <c r="CK27" s="7">
        <v>32</v>
      </c>
      <c r="CL27" s="7">
        <v>25</v>
      </c>
      <c r="CM27" s="7">
        <v>48</v>
      </c>
      <c r="CN27" s="7">
        <v>31</v>
      </c>
      <c r="CO27" s="7">
        <v>56</v>
      </c>
      <c r="CP27" s="7">
        <v>12</v>
      </c>
      <c r="CQ27" s="7">
        <v>24</v>
      </c>
      <c r="CR27" s="7">
        <v>1</v>
      </c>
      <c r="CS27" s="9">
        <v>615</v>
      </c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9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9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9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9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9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9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9"/>
      <c r="HW27" s="7"/>
      <c r="HX27" s="7">
        <v>73</v>
      </c>
      <c r="HY27" s="7">
        <v>713</v>
      </c>
      <c r="HZ27" s="7">
        <v>823</v>
      </c>
      <c r="IA27" s="7">
        <v>718</v>
      </c>
      <c r="IB27" s="7">
        <v>435</v>
      </c>
      <c r="IC27" s="7">
        <v>209</v>
      </c>
      <c r="ID27" s="7">
        <v>691</v>
      </c>
      <c r="IE27" s="7">
        <v>794</v>
      </c>
      <c r="IF27" s="7">
        <v>362</v>
      </c>
      <c r="IG27" s="7">
        <v>718</v>
      </c>
      <c r="IH27" s="7">
        <v>443</v>
      </c>
      <c r="II27" s="7">
        <v>270</v>
      </c>
      <c r="IJ27" s="7">
        <v>264</v>
      </c>
      <c r="IK27" s="7">
        <v>898</v>
      </c>
      <c r="IL27" s="7">
        <v>135</v>
      </c>
      <c r="IM27" s="7">
        <v>419</v>
      </c>
      <c r="IN27" s="7">
        <v>171</v>
      </c>
      <c r="IO27" s="7">
        <v>8136</v>
      </c>
    </row>
    <row r="28" spans="1:249" x14ac:dyDescent="0.4">
      <c r="A28" t="s">
        <v>43</v>
      </c>
      <c r="B28" t="s">
        <v>35</v>
      </c>
      <c r="C28" s="1"/>
      <c r="D28" s="1">
        <v>741</v>
      </c>
      <c r="E28" s="1">
        <v>510</v>
      </c>
      <c r="F28" s="1">
        <v>463</v>
      </c>
      <c r="G28" s="1">
        <v>517</v>
      </c>
      <c r="H28" s="1">
        <v>395</v>
      </c>
      <c r="I28" s="1">
        <v>124</v>
      </c>
      <c r="J28" s="1">
        <v>289</v>
      </c>
      <c r="K28" s="1">
        <v>261</v>
      </c>
      <c r="L28" s="1">
        <v>339</v>
      </c>
      <c r="M28" s="1">
        <v>281</v>
      </c>
      <c r="N28" s="1">
        <v>620</v>
      </c>
      <c r="O28" s="1">
        <v>184</v>
      </c>
      <c r="P28" s="1">
        <v>243</v>
      </c>
      <c r="Q28" s="1">
        <v>303</v>
      </c>
      <c r="R28" s="1">
        <v>134</v>
      </c>
      <c r="S28" s="1">
        <v>128</v>
      </c>
      <c r="T28" s="1">
        <v>107</v>
      </c>
      <c r="U28" s="9">
        <v>5639</v>
      </c>
      <c r="V28" s="1"/>
      <c r="W28" s="1">
        <v>86</v>
      </c>
      <c r="X28" s="1">
        <v>89</v>
      </c>
      <c r="Y28" s="1">
        <v>158</v>
      </c>
      <c r="Z28" s="1">
        <v>150</v>
      </c>
      <c r="AA28" s="1">
        <v>206</v>
      </c>
      <c r="AB28" s="1">
        <v>78</v>
      </c>
      <c r="AC28" s="1">
        <v>141</v>
      </c>
      <c r="AD28" s="1">
        <v>110</v>
      </c>
      <c r="AE28" s="1">
        <v>155</v>
      </c>
      <c r="AF28" s="1">
        <v>83</v>
      </c>
      <c r="AG28" s="1">
        <v>149</v>
      </c>
      <c r="AH28" s="1">
        <v>134</v>
      </c>
      <c r="AI28" s="1">
        <v>83</v>
      </c>
      <c r="AJ28" s="1">
        <v>28</v>
      </c>
      <c r="AK28" s="1">
        <v>52</v>
      </c>
      <c r="AL28" s="1">
        <v>38</v>
      </c>
      <c r="AM28" s="1">
        <v>151</v>
      </c>
      <c r="AN28" s="9">
        <v>1891</v>
      </c>
      <c r="AO28" s="1"/>
      <c r="AP28" s="1">
        <v>67</v>
      </c>
      <c r="AQ28" s="1">
        <v>159</v>
      </c>
      <c r="AR28" s="1">
        <v>199</v>
      </c>
      <c r="AS28" s="1">
        <v>326</v>
      </c>
      <c r="AT28" s="1">
        <v>311</v>
      </c>
      <c r="AU28" s="1">
        <v>76</v>
      </c>
      <c r="AV28" s="1">
        <v>113</v>
      </c>
      <c r="AW28" s="1">
        <v>156</v>
      </c>
      <c r="AX28" s="1">
        <v>261</v>
      </c>
      <c r="AY28" s="1">
        <v>185</v>
      </c>
      <c r="AZ28" s="1">
        <v>174</v>
      </c>
      <c r="BA28" s="1">
        <v>145</v>
      </c>
      <c r="BB28" s="1">
        <v>112</v>
      </c>
      <c r="BC28" s="1">
        <v>56</v>
      </c>
      <c r="BD28" s="1">
        <v>40</v>
      </c>
      <c r="BE28" s="1">
        <v>51</v>
      </c>
      <c r="BF28" s="1">
        <v>61</v>
      </c>
      <c r="BG28" s="9">
        <v>2492</v>
      </c>
      <c r="BH28" s="1"/>
      <c r="BI28" s="1">
        <v>238</v>
      </c>
      <c r="BJ28" s="1">
        <v>212</v>
      </c>
      <c r="BK28" s="1">
        <v>163</v>
      </c>
      <c r="BL28" s="1">
        <v>163</v>
      </c>
      <c r="BM28" s="1">
        <v>297</v>
      </c>
      <c r="BN28" s="1">
        <v>120</v>
      </c>
      <c r="BO28" s="1">
        <v>164</v>
      </c>
      <c r="BP28" s="1">
        <v>154</v>
      </c>
      <c r="BQ28" s="1">
        <v>343</v>
      </c>
      <c r="BR28" s="1">
        <v>155</v>
      </c>
      <c r="BS28" s="1">
        <v>253</v>
      </c>
      <c r="BT28" s="1">
        <v>209</v>
      </c>
      <c r="BU28" s="1">
        <v>105</v>
      </c>
      <c r="BV28" s="1">
        <v>265</v>
      </c>
      <c r="BW28" s="1">
        <v>105</v>
      </c>
      <c r="BX28" s="1">
        <v>86</v>
      </c>
      <c r="BY28" s="1">
        <v>40</v>
      </c>
      <c r="BZ28" s="9">
        <v>3072</v>
      </c>
      <c r="CA28" s="1"/>
      <c r="CB28" s="1">
        <v>142</v>
      </c>
      <c r="CC28" s="1">
        <v>101</v>
      </c>
      <c r="CD28" s="1">
        <v>121</v>
      </c>
      <c r="CE28" s="1">
        <v>142</v>
      </c>
      <c r="CF28" s="1">
        <v>274</v>
      </c>
      <c r="CG28" s="1">
        <v>72</v>
      </c>
      <c r="CH28" s="1">
        <v>107</v>
      </c>
      <c r="CI28" s="1">
        <v>147</v>
      </c>
      <c r="CJ28" s="1">
        <v>178</v>
      </c>
      <c r="CK28" s="1">
        <v>87</v>
      </c>
      <c r="CL28" s="1">
        <v>152</v>
      </c>
      <c r="CM28" s="1">
        <v>137</v>
      </c>
      <c r="CN28" s="1">
        <v>94</v>
      </c>
      <c r="CO28" s="1">
        <v>61</v>
      </c>
      <c r="CP28" s="1">
        <v>75</v>
      </c>
      <c r="CQ28" s="1">
        <v>48</v>
      </c>
      <c r="CR28" s="1">
        <v>218</v>
      </c>
      <c r="CS28" s="9">
        <v>2156</v>
      </c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9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9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9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9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9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9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9"/>
      <c r="HW28" s="1"/>
      <c r="HX28" s="1">
        <v>1698</v>
      </c>
      <c r="HY28" s="1">
        <v>1749</v>
      </c>
      <c r="HZ28" s="1">
        <v>1932</v>
      </c>
      <c r="IA28" s="1">
        <v>2132</v>
      </c>
      <c r="IB28" s="1">
        <v>2331</v>
      </c>
      <c r="IC28" s="1">
        <v>820</v>
      </c>
      <c r="ID28" s="1">
        <v>1434</v>
      </c>
      <c r="IE28" s="1">
        <v>1970</v>
      </c>
      <c r="IF28" s="1">
        <v>2048</v>
      </c>
      <c r="IG28" s="1">
        <v>1356</v>
      </c>
      <c r="IH28" s="1">
        <v>2149</v>
      </c>
      <c r="II28" s="1">
        <v>1392</v>
      </c>
      <c r="IJ28" s="1">
        <v>814</v>
      </c>
      <c r="IK28" s="1">
        <v>1104</v>
      </c>
      <c r="IL28" s="1">
        <v>1259</v>
      </c>
      <c r="IM28" s="1">
        <v>638</v>
      </c>
      <c r="IN28" s="1">
        <v>761</v>
      </c>
      <c r="IO28" s="1">
        <v>25587</v>
      </c>
    </row>
    <row r="29" spans="1:249" x14ac:dyDescent="0.4">
      <c r="A29" t="s">
        <v>43</v>
      </c>
      <c r="B29" t="s">
        <v>44</v>
      </c>
      <c r="C29" s="1"/>
      <c r="D29" s="1"/>
      <c r="E29" s="1">
        <v>34</v>
      </c>
      <c r="F29" s="1">
        <v>66</v>
      </c>
      <c r="G29" s="1">
        <v>109</v>
      </c>
      <c r="H29" s="1">
        <v>30</v>
      </c>
      <c r="I29" s="1">
        <v>81</v>
      </c>
      <c r="J29" s="1">
        <v>23</v>
      </c>
      <c r="K29" s="1">
        <v>64</v>
      </c>
      <c r="L29" s="1">
        <v>108</v>
      </c>
      <c r="M29" s="1">
        <v>109</v>
      </c>
      <c r="N29" s="1">
        <v>83</v>
      </c>
      <c r="O29" s="1">
        <v>34</v>
      </c>
      <c r="P29" s="1">
        <v>9</v>
      </c>
      <c r="Q29" s="1">
        <v>78</v>
      </c>
      <c r="R29" s="1">
        <v>55</v>
      </c>
      <c r="S29" s="1">
        <v>5</v>
      </c>
      <c r="T29" s="1">
        <v>41</v>
      </c>
      <c r="U29" s="9">
        <v>929</v>
      </c>
      <c r="V29" s="1"/>
      <c r="W29" s="1"/>
      <c r="X29" s="1">
        <v>16</v>
      </c>
      <c r="Y29" s="1">
        <v>23</v>
      </c>
      <c r="Z29" s="1">
        <v>70</v>
      </c>
      <c r="AA29" s="1">
        <v>2</v>
      </c>
      <c r="AB29" s="1">
        <v>119</v>
      </c>
      <c r="AC29" s="1">
        <v>9</v>
      </c>
      <c r="AD29" s="1">
        <v>74</v>
      </c>
      <c r="AE29" s="1">
        <v>87</v>
      </c>
      <c r="AF29" s="1">
        <v>78</v>
      </c>
      <c r="AG29" s="1">
        <v>5</v>
      </c>
      <c r="AH29" s="1">
        <v>30</v>
      </c>
      <c r="AI29" s="1">
        <v>30</v>
      </c>
      <c r="AJ29" s="1">
        <v>42</v>
      </c>
      <c r="AK29" s="1">
        <v>29</v>
      </c>
      <c r="AL29" s="1">
        <v>6</v>
      </c>
      <c r="AM29" s="1">
        <v>52</v>
      </c>
      <c r="AN29" s="9">
        <v>672</v>
      </c>
      <c r="AO29" s="1"/>
      <c r="AP29" s="1"/>
      <c r="AQ29" s="1">
        <v>10</v>
      </c>
      <c r="AR29" s="1">
        <v>50</v>
      </c>
      <c r="AS29" s="1">
        <v>100</v>
      </c>
      <c r="AT29" s="1">
        <v>3</v>
      </c>
      <c r="AU29" s="1">
        <v>71</v>
      </c>
      <c r="AV29" s="1">
        <v>17</v>
      </c>
      <c r="AW29" s="1">
        <v>65</v>
      </c>
      <c r="AX29" s="1">
        <v>56</v>
      </c>
      <c r="AY29" s="1">
        <v>44</v>
      </c>
      <c r="AZ29" s="1">
        <v>14</v>
      </c>
      <c r="BA29" s="1">
        <v>72</v>
      </c>
      <c r="BB29" s="1">
        <v>26</v>
      </c>
      <c r="BC29" s="1">
        <v>49</v>
      </c>
      <c r="BD29" s="1">
        <v>23</v>
      </c>
      <c r="BE29" s="1">
        <v>17</v>
      </c>
      <c r="BF29" s="1">
        <v>72</v>
      </c>
      <c r="BG29" s="9">
        <v>689</v>
      </c>
      <c r="BH29" s="1"/>
      <c r="BI29" s="1">
        <v>178</v>
      </c>
      <c r="BJ29" s="1">
        <v>9</v>
      </c>
      <c r="BK29" s="1">
        <v>53</v>
      </c>
      <c r="BL29" s="1">
        <v>42</v>
      </c>
      <c r="BM29" s="1">
        <v>2</v>
      </c>
      <c r="BN29" s="1">
        <v>134</v>
      </c>
      <c r="BO29" s="1">
        <v>9</v>
      </c>
      <c r="BP29" s="1">
        <v>20</v>
      </c>
      <c r="BQ29" s="1">
        <v>32</v>
      </c>
      <c r="BR29" s="1">
        <v>47</v>
      </c>
      <c r="BS29" s="1">
        <v>16</v>
      </c>
      <c r="BT29" s="1">
        <v>29</v>
      </c>
      <c r="BU29" s="1">
        <v>15</v>
      </c>
      <c r="BV29" s="1">
        <v>157</v>
      </c>
      <c r="BW29" s="1">
        <v>11</v>
      </c>
      <c r="BX29" s="1">
        <v>23</v>
      </c>
      <c r="BY29" s="1">
        <v>32</v>
      </c>
      <c r="BZ29" s="9">
        <v>809</v>
      </c>
      <c r="CA29" s="1"/>
      <c r="CB29" s="1">
        <v>64</v>
      </c>
      <c r="CC29" s="1">
        <v>27</v>
      </c>
      <c r="CD29" s="1">
        <v>39</v>
      </c>
      <c r="CE29" s="1">
        <v>38</v>
      </c>
      <c r="CF29" s="1"/>
      <c r="CG29" s="1">
        <v>81</v>
      </c>
      <c r="CH29" s="1">
        <v>37</v>
      </c>
      <c r="CI29" s="1">
        <v>26</v>
      </c>
      <c r="CJ29" s="1">
        <v>33</v>
      </c>
      <c r="CK29" s="1">
        <v>92</v>
      </c>
      <c r="CL29" s="1">
        <v>15</v>
      </c>
      <c r="CM29" s="1">
        <v>24</v>
      </c>
      <c r="CN29" s="1">
        <v>21</v>
      </c>
      <c r="CO29" s="1">
        <v>104</v>
      </c>
      <c r="CP29" s="1">
        <v>5</v>
      </c>
      <c r="CQ29" s="1">
        <v>9</v>
      </c>
      <c r="CR29" s="1">
        <v>21</v>
      </c>
      <c r="CS29" s="9">
        <v>636</v>
      </c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9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9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9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9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9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9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9"/>
      <c r="HW29" s="1"/>
      <c r="HX29" s="1"/>
      <c r="HY29" s="1">
        <v>291</v>
      </c>
      <c r="HZ29" s="1">
        <v>1037</v>
      </c>
      <c r="IA29" s="1">
        <v>829</v>
      </c>
      <c r="IB29" s="1">
        <v>103</v>
      </c>
      <c r="IC29" s="1">
        <v>1230</v>
      </c>
      <c r="ID29" s="1">
        <v>320</v>
      </c>
      <c r="IE29" s="1">
        <v>461</v>
      </c>
      <c r="IF29" s="1">
        <v>647</v>
      </c>
      <c r="IG29" s="1">
        <v>681</v>
      </c>
      <c r="IH29" s="1">
        <v>403</v>
      </c>
      <c r="II29" s="1">
        <v>547</v>
      </c>
      <c r="IJ29" s="1">
        <v>281</v>
      </c>
      <c r="IK29" s="1">
        <v>841</v>
      </c>
      <c r="IL29" s="1">
        <v>139</v>
      </c>
      <c r="IM29" s="1">
        <v>108</v>
      </c>
      <c r="IN29" s="1">
        <v>443</v>
      </c>
      <c r="IO29" s="1">
        <v>8361</v>
      </c>
    </row>
    <row r="30" spans="1:249" x14ac:dyDescent="0.4">
      <c r="A30" t="s">
        <v>43</v>
      </c>
      <c r="B30" t="s">
        <v>45</v>
      </c>
      <c r="C30" s="1"/>
      <c r="D30" s="1"/>
      <c r="E30" s="1">
        <v>302</v>
      </c>
      <c r="F30" s="1">
        <v>513</v>
      </c>
      <c r="G30" s="1">
        <v>537</v>
      </c>
      <c r="H30" s="1">
        <v>55</v>
      </c>
      <c r="I30" s="1">
        <v>314</v>
      </c>
      <c r="J30" s="1">
        <v>423</v>
      </c>
      <c r="K30" s="1">
        <v>433</v>
      </c>
      <c r="L30" s="1">
        <v>424</v>
      </c>
      <c r="M30" s="1">
        <v>422</v>
      </c>
      <c r="N30" s="1">
        <v>356</v>
      </c>
      <c r="O30" s="1">
        <v>718</v>
      </c>
      <c r="P30" s="1">
        <v>101</v>
      </c>
      <c r="Q30" s="1">
        <v>583</v>
      </c>
      <c r="R30" s="1">
        <v>148</v>
      </c>
      <c r="S30" s="1">
        <v>51</v>
      </c>
      <c r="T30" s="1">
        <v>401</v>
      </c>
      <c r="U30" s="9">
        <v>5781</v>
      </c>
      <c r="V30" s="1"/>
      <c r="W30" s="1"/>
      <c r="X30" s="1">
        <v>170</v>
      </c>
      <c r="Y30" s="1">
        <v>259</v>
      </c>
      <c r="Z30" s="1">
        <v>418</v>
      </c>
      <c r="AA30" s="1">
        <v>26</v>
      </c>
      <c r="AB30" s="1">
        <v>242</v>
      </c>
      <c r="AC30" s="1">
        <v>240</v>
      </c>
      <c r="AD30" s="1">
        <v>170</v>
      </c>
      <c r="AE30" s="1">
        <v>181</v>
      </c>
      <c r="AF30" s="1">
        <v>191</v>
      </c>
      <c r="AG30" s="1">
        <v>209</v>
      </c>
      <c r="AH30" s="1">
        <v>377</v>
      </c>
      <c r="AI30" s="1">
        <v>46</v>
      </c>
      <c r="AJ30" s="1">
        <v>344</v>
      </c>
      <c r="AK30" s="1">
        <v>118</v>
      </c>
      <c r="AL30" s="1">
        <v>17</v>
      </c>
      <c r="AM30" s="1">
        <v>204</v>
      </c>
      <c r="AN30" s="9">
        <v>3212</v>
      </c>
      <c r="AO30" s="1"/>
      <c r="AP30" s="1"/>
      <c r="AQ30" s="1">
        <v>255</v>
      </c>
      <c r="AR30" s="1">
        <v>378</v>
      </c>
      <c r="AS30" s="1">
        <v>530</v>
      </c>
      <c r="AT30" s="1">
        <v>22</v>
      </c>
      <c r="AU30" s="1">
        <v>405</v>
      </c>
      <c r="AV30" s="1">
        <v>292</v>
      </c>
      <c r="AW30" s="1">
        <v>251</v>
      </c>
      <c r="AX30" s="1">
        <v>194</v>
      </c>
      <c r="AY30" s="1">
        <v>303</v>
      </c>
      <c r="AZ30" s="1">
        <v>235</v>
      </c>
      <c r="BA30" s="1">
        <v>281</v>
      </c>
      <c r="BB30" s="1">
        <v>132</v>
      </c>
      <c r="BC30" s="1">
        <v>401</v>
      </c>
      <c r="BD30" s="1">
        <v>51</v>
      </c>
      <c r="BE30" s="1">
        <v>50</v>
      </c>
      <c r="BF30" s="1">
        <v>288</v>
      </c>
      <c r="BG30" s="9">
        <v>4068</v>
      </c>
      <c r="BH30" s="1"/>
      <c r="BI30" s="1">
        <v>552</v>
      </c>
      <c r="BJ30" s="1">
        <v>417</v>
      </c>
      <c r="BK30" s="1">
        <v>366</v>
      </c>
      <c r="BL30" s="1">
        <v>326</v>
      </c>
      <c r="BM30" s="1">
        <v>34</v>
      </c>
      <c r="BN30" s="1">
        <v>347</v>
      </c>
      <c r="BO30" s="1">
        <v>343</v>
      </c>
      <c r="BP30" s="1">
        <v>157</v>
      </c>
      <c r="BQ30" s="1">
        <v>188</v>
      </c>
      <c r="BR30" s="1">
        <v>314</v>
      </c>
      <c r="BS30" s="1">
        <v>195</v>
      </c>
      <c r="BT30" s="1">
        <v>516</v>
      </c>
      <c r="BU30" s="1">
        <v>117</v>
      </c>
      <c r="BV30" s="1">
        <v>643</v>
      </c>
      <c r="BW30" s="1">
        <v>84</v>
      </c>
      <c r="BX30" s="1">
        <v>35</v>
      </c>
      <c r="BY30" s="1">
        <v>297</v>
      </c>
      <c r="BZ30" s="9">
        <v>4931</v>
      </c>
      <c r="CA30" s="1"/>
      <c r="CB30" s="1">
        <v>143</v>
      </c>
      <c r="CC30" s="1">
        <v>164</v>
      </c>
      <c r="CD30" s="1">
        <v>301</v>
      </c>
      <c r="CE30" s="1">
        <v>331</v>
      </c>
      <c r="CF30" s="1">
        <v>12</v>
      </c>
      <c r="CG30" s="1">
        <v>277</v>
      </c>
      <c r="CH30" s="1">
        <v>198</v>
      </c>
      <c r="CI30" s="1">
        <v>209</v>
      </c>
      <c r="CJ30" s="1">
        <v>211</v>
      </c>
      <c r="CK30" s="1">
        <v>290</v>
      </c>
      <c r="CL30" s="1">
        <v>102</v>
      </c>
      <c r="CM30" s="1">
        <v>307</v>
      </c>
      <c r="CN30" s="1">
        <v>75</v>
      </c>
      <c r="CO30" s="1">
        <v>490</v>
      </c>
      <c r="CP30" s="1">
        <v>123</v>
      </c>
      <c r="CQ30" s="1">
        <v>28</v>
      </c>
      <c r="CR30" s="1">
        <v>239</v>
      </c>
      <c r="CS30" s="9">
        <v>3500</v>
      </c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9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9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9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9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9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9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9"/>
      <c r="HW30" s="1"/>
      <c r="HX30" s="1"/>
      <c r="HY30" s="1">
        <v>2900</v>
      </c>
      <c r="HZ30" s="1">
        <v>4298</v>
      </c>
      <c r="IA30" s="1">
        <v>3753</v>
      </c>
      <c r="IB30" s="1">
        <v>645</v>
      </c>
      <c r="IC30" s="1">
        <v>3648</v>
      </c>
      <c r="ID30" s="1">
        <v>2849</v>
      </c>
      <c r="IE30" s="1">
        <v>3214</v>
      </c>
      <c r="IF30" s="1">
        <v>2771</v>
      </c>
      <c r="IG30" s="1">
        <v>2805</v>
      </c>
      <c r="IH30" s="1">
        <v>2383</v>
      </c>
      <c r="II30" s="1">
        <v>5337</v>
      </c>
      <c r="IJ30" s="1">
        <v>1282</v>
      </c>
      <c r="IK30" s="1">
        <v>4169</v>
      </c>
      <c r="IL30" s="1">
        <v>835</v>
      </c>
      <c r="IM30" s="1">
        <v>448</v>
      </c>
      <c r="IN30" s="1">
        <v>3219</v>
      </c>
      <c r="IO30" s="1">
        <v>44556</v>
      </c>
    </row>
    <row r="31" spans="1:249" s="6" customFormat="1" x14ac:dyDescent="0.4">
      <c r="A31" s="6" t="s">
        <v>43</v>
      </c>
      <c r="B31" s="6" t="s">
        <v>19</v>
      </c>
      <c r="C31" s="7"/>
      <c r="D31" s="7"/>
      <c r="E31" s="7">
        <v>5</v>
      </c>
      <c r="F31" s="7">
        <v>8</v>
      </c>
      <c r="G31" s="7"/>
      <c r="H31" s="7">
        <v>3</v>
      </c>
      <c r="I31" s="7"/>
      <c r="J31" s="7">
        <v>2</v>
      </c>
      <c r="K31" s="7">
        <v>6</v>
      </c>
      <c r="L31" s="7">
        <v>1</v>
      </c>
      <c r="M31" s="7">
        <v>3</v>
      </c>
      <c r="N31" s="7"/>
      <c r="O31" s="7"/>
      <c r="P31" s="7"/>
      <c r="Q31" s="7">
        <v>1</v>
      </c>
      <c r="R31" s="7">
        <v>8</v>
      </c>
      <c r="S31" s="7">
        <v>6</v>
      </c>
      <c r="T31" s="7"/>
      <c r="U31" s="9">
        <v>43</v>
      </c>
      <c r="V31" s="7"/>
      <c r="W31" s="7"/>
      <c r="X31" s="7"/>
      <c r="Y31" s="7">
        <v>2</v>
      </c>
      <c r="Z31" s="7">
        <v>6</v>
      </c>
      <c r="AA31" s="7"/>
      <c r="AB31" s="7">
        <v>1</v>
      </c>
      <c r="AC31" s="7">
        <v>1</v>
      </c>
      <c r="AD31" s="7">
        <v>2</v>
      </c>
      <c r="AE31" s="7">
        <v>1</v>
      </c>
      <c r="AF31" s="7">
        <v>1</v>
      </c>
      <c r="AG31" s="7"/>
      <c r="AH31" s="7">
        <v>1</v>
      </c>
      <c r="AI31" s="7"/>
      <c r="AJ31" s="7"/>
      <c r="AK31" s="7"/>
      <c r="AL31" s="7"/>
      <c r="AM31" s="7">
        <v>1</v>
      </c>
      <c r="AN31" s="9">
        <v>16</v>
      </c>
      <c r="AO31" s="7"/>
      <c r="AP31" s="7"/>
      <c r="AQ31" s="7"/>
      <c r="AR31" s="7">
        <v>8</v>
      </c>
      <c r="AS31" s="7">
        <v>4</v>
      </c>
      <c r="AT31" s="7">
        <v>3</v>
      </c>
      <c r="AU31" s="7"/>
      <c r="AV31" s="7">
        <v>5</v>
      </c>
      <c r="AW31" s="7">
        <v>4</v>
      </c>
      <c r="AX31" s="7">
        <v>3</v>
      </c>
      <c r="AY31" s="7"/>
      <c r="AZ31" s="7"/>
      <c r="BA31" s="7">
        <v>4</v>
      </c>
      <c r="BB31" s="7"/>
      <c r="BC31" s="7"/>
      <c r="BD31" s="7">
        <v>2</v>
      </c>
      <c r="BE31" s="7">
        <v>1</v>
      </c>
      <c r="BF31" s="7"/>
      <c r="BG31" s="9">
        <v>34</v>
      </c>
      <c r="BH31" s="7"/>
      <c r="BI31" s="7"/>
      <c r="BJ31" s="7">
        <v>1</v>
      </c>
      <c r="BK31" s="7">
        <v>7</v>
      </c>
      <c r="BL31" s="7">
        <v>18</v>
      </c>
      <c r="BM31" s="7">
        <v>3</v>
      </c>
      <c r="BN31" s="7"/>
      <c r="BO31" s="7">
        <v>7</v>
      </c>
      <c r="BP31" s="7">
        <v>4</v>
      </c>
      <c r="BQ31" s="7">
        <v>2</v>
      </c>
      <c r="BR31" s="7">
        <v>2</v>
      </c>
      <c r="BS31" s="7"/>
      <c r="BT31" s="7">
        <v>2</v>
      </c>
      <c r="BU31" s="7">
        <v>2</v>
      </c>
      <c r="BV31" s="7"/>
      <c r="BW31" s="7">
        <v>1</v>
      </c>
      <c r="BX31" s="7"/>
      <c r="BY31" s="7"/>
      <c r="BZ31" s="9">
        <v>49</v>
      </c>
      <c r="CA31" s="7"/>
      <c r="CB31" s="7">
        <v>2</v>
      </c>
      <c r="CC31" s="7">
        <v>11</v>
      </c>
      <c r="CD31" s="7">
        <v>8</v>
      </c>
      <c r="CE31" s="7">
        <v>10</v>
      </c>
      <c r="CF31" s="7">
        <v>2</v>
      </c>
      <c r="CG31" s="7">
        <v>2</v>
      </c>
      <c r="CH31" s="7">
        <v>6</v>
      </c>
      <c r="CI31" s="7">
        <v>8</v>
      </c>
      <c r="CJ31" s="7"/>
      <c r="CK31" s="7"/>
      <c r="CL31" s="7">
        <v>6</v>
      </c>
      <c r="CM31" s="7">
        <v>2</v>
      </c>
      <c r="CN31" s="7">
        <v>1</v>
      </c>
      <c r="CO31" s="7">
        <v>2</v>
      </c>
      <c r="CP31" s="7"/>
      <c r="CQ31" s="7">
        <v>3</v>
      </c>
      <c r="CR31" s="7"/>
      <c r="CS31" s="9">
        <v>63</v>
      </c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9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9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9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9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9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9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9"/>
      <c r="HW31" s="7"/>
      <c r="HX31" s="7">
        <v>8</v>
      </c>
      <c r="HY31" s="7">
        <v>68</v>
      </c>
      <c r="HZ31" s="7">
        <v>63</v>
      </c>
      <c r="IA31" s="7">
        <v>65</v>
      </c>
      <c r="IB31" s="7">
        <v>52</v>
      </c>
      <c r="IC31" s="7">
        <v>12</v>
      </c>
      <c r="ID31" s="7">
        <v>75</v>
      </c>
      <c r="IE31" s="7">
        <v>87</v>
      </c>
      <c r="IF31" s="7">
        <v>11</v>
      </c>
      <c r="IG31" s="7">
        <v>34</v>
      </c>
      <c r="IH31" s="7">
        <v>16</v>
      </c>
      <c r="II31" s="7">
        <v>25</v>
      </c>
      <c r="IJ31" s="7">
        <v>9</v>
      </c>
      <c r="IK31" s="7">
        <v>95</v>
      </c>
      <c r="IL31" s="7">
        <v>27</v>
      </c>
      <c r="IM31" s="7">
        <v>34</v>
      </c>
      <c r="IN31" s="7">
        <v>12</v>
      </c>
      <c r="IO31" s="7">
        <v>693</v>
      </c>
    </row>
    <row r="32" spans="1:249" x14ac:dyDescent="0.4">
      <c r="A32" t="s">
        <v>43</v>
      </c>
      <c r="B32" t="s">
        <v>27</v>
      </c>
      <c r="C32" s="1"/>
      <c r="D32" s="1">
        <v>38</v>
      </c>
      <c r="E32" s="1">
        <v>33</v>
      </c>
      <c r="F32" s="1">
        <v>7</v>
      </c>
      <c r="G32" s="1"/>
      <c r="H32" s="1">
        <v>3</v>
      </c>
      <c r="I32" s="1">
        <v>3</v>
      </c>
      <c r="J32" s="1">
        <v>7</v>
      </c>
      <c r="K32" s="1">
        <v>20</v>
      </c>
      <c r="L32" s="1">
        <v>2</v>
      </c>
      <c r="M32" s="1">
        <v>5</v>
      </c>
      <c r="N32" s="1">
        <v>9</v>
      </c>
      <c r="O32" s="1">
        <v>1</v>
      </c>
      <c r="P32" s="1">
        <v>4</v>
      </c>
      <c r="Q32" s="1">
        <v>2</v>
      </c>
      <c r="R32" s="1">
        <v>25</v>
      </c>
      <c r="S32" s="1">
        <v>4</v>
      </c>
      <c r="T32" s="1">
        <v>9</v>
      </c>
      <c r="U32" s="9">
        <v>172</v>
      </c>
      <c r="V32" s="1"/>
      <c r="W32" s="1"/>
      <c r="X32" s="1"/>
      <c r="Y32" s="1">
        <v>7</v>
      </c>
      <c r="Z32" s="1"/>
      <c r="AA32" s="1">
        <v>8</v>
      </c>
      <c r="AB32" s="1">
        <v>8</v>
      </c>
      <c r="AC32" s="1">
        <v>2</v>
      </c>
      <c r="AD32" s="1">
        <v>11</v>
      </c>
      <c r="AE32" s="1">
        <v>1</v>
      </c>
      <c r="AF32" s="1">
        <v>9</v>
      </c>
      <c r="AG32" s="1"/>
      <c r="AH32" s="1">
        <v>2</v>
      </c>
      <c r="AI32" s="1">
        <v>8</v>
      </c>
      <c r="AJ32" s="1">
        <v>2</v>
      </c>
      <c r="AK32" s="1"/>
      <c r="AL32" s="1">
        <v>4</v>
      </c>
      <c r="AM32" s="1"/>
      <c r="AN32" s="9">
        <v>62</v>
      </c>
      <c r="AO32" s="1"/>
      <c r="AP32" s="1">
        <v>2</v>
      </c>
      <c r="AQ32" s="1"/>
      <c r="AR32" s="1">
        <v>12</v>
      </c>
      <c r="AS32" s="1">
        <v>14</v>
      </c>
      <c r="AT32" s="1">
        <v>17</v>
      </c>
      <c r="AU32" s="1"/>
      <c r="AV32" s="1">
        <v>20</v>
      </c>
      <c r="AW32" s="1">
        <v>14</v>
      </c>
      <c r="AX32" s="1"/>
      <c r="AY32" s="1">
        <v>6</v>
      </c>
      <c r="AZ32" s="1">
        <v>42</v>
      </c>
      <c r="BA32" s="1">
        <v>2</v>
      </c>
      <c r="BB32" s="1">
        <v>11</v>
      </c>
      <c r="BC32" s="1">
        <v>3</v>
      </c>
      <c r="BD32" s="1">
        <v>1</v>
      </c>
      <c r="BE32" s="1">
        <v>4</v>
      </c>
      <c r="BF32" s="1"/>
      <c r="BG32" s="9">
        <v>148</v>
      </c>
      <c r="BH32" s="1"/>
      <c r="BI32" s="1">
        <v>6</v>
      </c>
      <c r="BJ32" s="1">
        <v>3</v>
      </c>
      <c r="BK32" s="1">
        <v>3</v>
      </c>
      <c r="BL32" s="1">
        <v>11</v>
      </c>
      <c r="BM32" s="1">
        <v>3</v>
      </c>
      <c r="BN32" s="1">
        <v>1</v>
      </c>
      <c r="BO32" s="1">
        <v>4</v>
      </c>
      <c r="BP32" s="1">
        <v>13</v>
      </c>
      <c r="BQ32" s="1">
        <v>9</v>
      </c>
      <c r="BR32" s="1">
        <v>13</v>
      </c>
      <c r="BS32" s="1">
        <v>1</v>
      </c>
      <c r="BT32" s="1">
        <v>20</v>
      </c>
      <c r="BU32" s="1">
        <v>3</v>
      </c>
      <c r="BV32" s="1">
        <v>2</v>
      </c>
      <c r="BW32" s="1">
        <v>3</v>
      </c>
      <c r="BX32" s="1">
        <v>12</v>
      </c>
      <c r="BY32" s="1"/>
      <c r="BZ32" s="9">
        <v>107</v>
      </c>
      <c r="CA32" s="1"/>
      <c r="CB32" s="1">
        <v>22</v>
      </c>
      <c r="CC32" s="1">
        <v>18</v>
      </c>
      <c r="CD32" s="1">
        <v>10</v>
      </c>
      <c r="CE32" s="1">
        <v>8</v>
      </c>
      <c r="CF32" s="1">
        <v>3</v>
      </c>
      <c r="CG32" s="1">
        <v>2</v>
      </c>
      <c r="CH32" s="1">
        <v>21</v>
      </c>
      <c r="CI32" s="1">
        <v>4</v>
      </c>
      <c r="CJ32" s="1">
        <v>3</v>
      </c>
      <c r="CK32" s="1">
        <v>1</v>
      </c>
      <c r="CL32" s="1">
        <v>7</v>
      </c>
      <c r="CM32" s="1">
        <v>38</v>
      </c>
      <c r="CN32" s="1">
        <v>1</v>
      </c>
      <c r="CO32" s="1">
        <v>19</v>
      </c>
      <c r="CP32" s="1">
        <v>21</v>
      </c>
      <c r="CQ32" s="1">
        <v>11</v>
      </c>
      <c r="CR32" s="1">
        <v>3</v>
      </c>
      <c r="CS32" s="9">
        <v>192</v>
      </c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9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9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9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9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9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9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9"/>
      <c r="HW32" s="1"/>
      <c r="HX32" s="1">
        <v>81</v>
      </c>
      <c r="HY32" s="1">
        <v>122</v>
      </c>
      <c r="HZ32" s="1">
        <v>160</v>
      </c>
      <c r="IA32" s="1">
        <v>151</v>
      </c>
      <c r="IB32" s="1">
        <v>304</v>
      </c>
      <c r="IC32" s="1">
        <v>61</v>
      </c>
      <c r="ID32" s="1">
        <v>138</v>
      </c>
      <c r="IE32" s="1">
        <v>163</v>
      </c>
      <c r="IF32" s="1">
        <v>235</v>
      </c>
      <c r="IG32" s="1">
        <v>114</v>
      </c>
      <c r="IH32" s="1">
        <v>116</v>
      </c>
      <c r="II32" s="1">
        <v>93</v>
      </c>
      <c r="IJ32" s="1">
        <v>27</v>
      </c>
      <c r="IK32" s="1">
        <v>72</v>
      </c>
      <c r="IL32" s="1">
        <v>180</v>
      </c>
      <c r="IM32" s="1">
        <v>43</v>
      </c>
      <c r="IN32" s="1">
        <v>47</v>
      </c>
      <c r="IO32" s="1">
        <v>2107</v>
      </c>
    </row>
    <row r="33" spans="1:249" x14ac:dyDescent="0.4">
      <c r="A33" t="s">
        <v>43</v>
      </c>
      <c r="B33" t="s">
        <v>51</v>
      </c>
      <c r="C33" s="1"/>
      <c r="D33" s="1"/>
      <c r="E33" s="1">
        <v>1</v>
      </c>
      <c r="F33" s="1">
        <v>4</v>
      </c>
      <c r="G33" s="1">
        <v>1</v>
      </c>
      <c r="H33" s="1"/>
      <c r="I33" s="1"/>
      <c r="J33" s="1"/>
      <c r="K33" s="1">
        <v>2</v>
      </c>
      <c r="L33" s="1">
        <v>5</v>
      </c>
      <c r="M33" s="1">
        <v>13</v>
      </c>
      <c r="N33" s="1"/>
      <c r="O33" s="1">
        <v>13</v>
      </c>
      <c r="P33" s="1"/>
      <c r="Q33" s="1">
        <v>3</v>
      </c>
      <c r="R33" s="1">
        <v>1</v>
      </c>
      <c r="S33" s="1"/>
      <c r="T33" s="1">
        <v>1</v>
      </c>
      <c r="U33" s="9">
        <v>44</v>
      </c>
      <c r="V33" s="1"/>
      <c r="W33" s="1"/>
      <c r="X33" s="1">
        <v>3</v>
      </c>
      <c r="Y33" s="1">
        <v>1</v>
      </c>
      <c r="Z33" s="1"/>
      <c r="AA33" s="1">
        <v>3</v>
      </c>
      <c r="AB33" s="1">
        <v>2</v>
      </c>
      <c r="AC33" s="1"/>
      <c r="AD33" s="1">
        <v>3</v>
      </c>
      <c r="AE33" s="1"/>
      <c r="AF33" s="1">
        <v>2</v>
      </c>
      <c r="AG33" s="1">
        <v>1</v>
      </c>
      <c r="AH33" s="1">
        <v>2</v>
      </c>
      <c r="AI33" s="1"/>
      <c r="AJ33" s="1"/>
      <c r="AK33" s="1">
        <v>4</v>
      </c>
      <c r="AL33" s="1"/>
      <c r="AM33" s="1"/>
      <c r="AN33" s="9">
        <v>21</v>
      </c>
      <c r="AO33" s="1"/>
      <c r="AP33" s="1"/>
      <c r="AQ33" s="1">
        <v>2</v>
      </c>
      <c r="AR33" s="1">
        <v>3</v>
      </c>
      <c r="AS33" s="1">
        <v>1</v>
      </c>
      <c r="AT33" s="1"/>
      <c r="AU33" s="1"/>
      <c r="AV33" s="1">
        <v>2</v>
      </c>
      <c r="AW33" s="1">
        <v>2</v>
      </c>
      <c r="AX33" s="1">
        <v>2</v>
      </c>
      <c r="AY33" s="1">
        <v>5</v>
      </c>
      <c r="AZ33" s="1">
        <v>2</v>
      </c>
      <c r="BA33" s="1">
        <v>3</v>
      </c>
      <c r="BB33" s="1">
        <v>1</v>
      </c>
      <c r="BC33" s="1">
        <v>1</v>
      </c>
      <c r="BD33" s="1">
        <v>1</v>
      </c>
      <c r="BE33" s="1"/>
      <c r="BF33" s="1">
        <v>1</v>
      </c>
      <c r="BG33" s="9">
        <v>26</v>
      </c>
      <c r="BH33" s="1"/>
      <c r="BI33" s="1"/>
      <c r="BJ33" s="1">
        <v>1</v>
      </c>
      <c r="BK33" s="1">
        <v>4</v>
      </c>
      <c r="BL33" s="1">
        <v>5</v>
      </c>
      <c r="BM33" s="1"/>
      <c r="BN33" s="1"/>
      <c r="BO33" s="1"/>
      <c r="BP33" s="1"/>
      <c r="BQ33" s="1">
        <v>2</v>
      </c>
      <c r="BR33" s="1">
        <v>9</v>
      </c>
      <c r="BS33" s="1"/>
      <c r="BT33" s="1">
        <v>1</v>
      </c>
      <c r="BU33" s="1"/>
      <c r="BV33" s="1">
        <v>3</v>
      </c>
      <c r="BW33" s="1">
        <v>3</v>
      </c>
      <c r="BX33" s="1"/>
      <c r="BY33" s="1">
        <v>1</v>
      </c>
      <c r="BZ33" s="9">
        <v>29</v>
      </c>
      <c r="CA33" s="1"/>
      <c r="CB33" s="1"/>
      <c r="CC33" s="1">
        <v>3</v>
      </c>
      <c r="CD33" s="1">
        <v>1</v>
      </c>
      <c r="CE33" s="1"/>
      <c r="CF33" s="1"/>
      <c r="CG33" s="1">
        <v>9</v>
      </c>
      <c r="CH33" s="1">
        <v>1</v>
      </c>
      <c r="CI33" s="1"/>
      <c r="CJ33" s="1"/>
      <c r="CK33" s="1">
        <v>5</v>
      </c>
      <c r="CL33" s="1">
        <v>1</v>
      </c>
      <c r="CM33" s="1">
        <v>1</v>
      </c>
      <c r="CN33" s="1"/>
      <c r="CO33" s="1">
        <v>3</v>
      </c>
      <c r="CP33" s="1"/>
      <c r="CQ33" s="1"/>
      <c r="CR33" s="1"/>
      <c r="CS33" s="9">
        <v>24</v>
      </c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9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9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9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9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9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9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9"/>
      <c r="HW33" s="1"/>
      <c r="HX33" s="1"/>
      <c r="HY33" s="1">
        <v>18</v>
      </c>
      <c r="HZ33" s="1">
        <v>68</v>
      </c>
      <c r="IA33" s="1">
        <v>48</v>
      </c>
      <c r="IB33" s="1">
        <v>12</v>
      </c>
      <c r="IC33" s="1">
        <v>23</v>
      </c>
      <c r="ID33" s="1">
        <v>18</v>
      </c>
      <c r="IE33" s="1">
        <v>40</v>
      </c>
      <c r="IF33" s="1">
        <v>79</v>
      </c>
      <c r="IG33" s="1">
        <v>52</v>
      </c>
      <c r="IH33" s="1">
        <v>44</v>
      </c>
      <c r="II33" s="1">
        <v>42</v>
      </c>
      <c r="IJ33" s="1">
        <v>1</v>
      </c>
      <c r="IK33" s="1">
        <v>39</v>
      </c>
      <c r="IL33" s="1">
        <v>15</v>
      </c>
      <c r="IM33" s="1">
        <v>2</v>
      </c>
      <c r="IN33" s="1">
        <v>31</v>
      </c>
      <c r="IO33" s="1">
        <v>532</v>
      </c>
    </row>
    <row r="34" spans="1:249" x14ac:dyDescent="0.4">
      <c r="A34" t="s">
        <v>43</v>
      </c>
      <c r="B34" t="s">
        <v>28</v>
      </c>
      <c r="C34" s="1"/>
      <c r="D34" s="1"/>
      <c r="E34" s="1">
        <v>9</v>
      </c>
      <c r="F34" s="1">
        <v>3</v>
      </c>
      <c r="G34" s="1">
        <v>13</v>
      </c>
      <c r="H34" s="1">
        <v>1</v>
      </c>
      <c r="I34" s="1">
        <v>7</v>
      </c>
      <c r="J34" s="1">
        <v>61</v>
      </c>
      <c r="K34" s="1">
        <v>6</v>
      </c>
      <c r="L34" s="1">
        <v>5</v>
      </c>
      <c r="M34" s="1">
        <v>50</v>
      </c>
      <c r="N34" s="1">
        <v>8</v>
      </c>
      <c r="O34" s="1">
        <v>125</v>
      </c>
      <c r="P34" s="1">
        <v>9</v>
      </c>
      <c r="Q34" s="1">
        <v>37</v>
      </c>
      <c r="R34" s="1">
        <v>2</v>
      </c>
      <c r="S34" s="1">
        <v>1</v>
      </c>
      <c r="T34" s="1">
        <v>4</v>
      </c>
      <c r="U34" s="9">
        <v>341</v>
      </c>
      <c r="V34" s="1"/>
      <c r="W34" s="1"/>
      <c r="X34" s="1">
        <v>77</v>
      </c>
      <c r="Y34" s="1">
        <v>20</v>
      </c>
      <c r="Z34" s="1">
        <v>2</v>
      </c>
      <c r="AA34" s="1">
        <v>2</v>
      </c>
      <c r="AB34" s="1">
        <v>1</v>
      </c>
      <c r="AC34" s="1">
        <v>7</v>
      </c>
      <c r="AD34" s="1">
        <v>1</v>
      </c>
      <c r="AE34" s="1">
        <v>2</v>
      </c>
      <c r="AF34" s="1">
        <v>8</v>
      </c>
      <c r="AG34" s="1">
        <v>12</v>
      </c>
      <c r="AH34" s="1">
        <v>18</v>
      </c>
      <c r="AI34" s="1"/>
      <c r="AJ34" s="1">
        <v>7</v>
      </c>
      <c r="AK34" s="1"/>
      <c r="AL34" s="1"/>
      <c r="AM34" s="1">
        <v>4</v>
      </c>
      <c r="AN34" s="9">
        <v>161</v>
      </c>
      <c r="AO34" s="1"/>
      <c r="AP34" s="1"/>
      <c r="AQ34" s="1">
        <v>7</v>
      </c>
      <c r="AR34" s="1">
        <v>16</v>
      </c>
      <c r="AS34" s="1">
        <v>15</v>
      </c>
      <c r="AT34" s="1"/>
      <c r="AU34" s="1">
        <v>32</v>
      </c>
      <c r="AV34" s="1">
        <v>6</v>
      </c>
      <c r="AW34" s="1">
        <v>2</v>
      </c>
      <c r="AX34" s="1">
        <v>7</v>
      </c>
      <c r="AY34" s="1">
        <v>5</v>
      </c>
      <c r="AZ34" s="1">
        <v>12</v>
      </c>
      <c r="BA34" s="1">
        <v>13</v>
      </c>
      <c r="BB34" s="1">
        <v>4</v>
      </c>
      <c r="BC34" s="1"/>
      <c r="BD34" s="1"/>
      <c r="BE34" s="1"/>
      <c r="BF34" s="1">
        <v>1</v>
      </c>
      <c r="BG34" s="9">
        <v>120</v>
      </c>
      <c r="BH34" s="1"/>
      <c r="BI34" s="1"/>
      <c r="BJ34" s="1">
        <v>5</v>
      </c>
      <c r="BK34" s="1">
        <v>36</v>
      </c>
      <c r="BL34" s="1">
        <v>11</v>
      </c>
      <c r="BM34" s="1">
        <v>4</v>
      </c>
      <c r="BN34" s="1">
        <v>20</v>
      </c>
      <c r="BO34" s="1">
        <v>4</v>
      </c>
      <c r="BP34" s="1">
        <v>3</v>
      </c>
      <c r="BQ34" s="1">
        <v>2</v>
      </c>
      <c r="BR34" s="1">
        <v>21</v>
      </c>
      <c r="BS34" s="1">
        <v>2</v>
      </c>
      <c r="BT34" s="1">
        <v>17</v>
      </c>
      <c r="BU34" s="1">
        <v>8</v>
      </c>
      <c r="BV34" s="1">
        <v>43</v>
      </c>
      <c r="BW34" s="1"/>
      <c r="BX34" s="1"/>
      <c r="BY34" s="1">
        <v>2</v>
      </c>
      <c r="BZ34" s="9">
        <v>178</v>
      </c>
      <c r="CA34" s="1"/>
      <c r="CB34" s="1">
        <v>14</v>
      </c>
      <c r="CC34" s="1">
        <v>7</v>
      </c>
      <c r="CD34" s="1">
        <v>52</v>
      </c>
      <c r="CE34" s="1">
        <v>6</v>
      </c>
      <c r="CF34" s="1"/>
      <c r="CG34" s="1">
        <v>1</v>
      </c>
      <c r="CH34" s="1">
        <v>54</v>
      </c>
      <c r="CI34" s="1">
        <v>38</v>
      </c>
      <c r="CJ34" s="1">
        <v>1</v>
      </c>
      <c r="CK34" s="1">
        <v>35</v>
      </c>
      <c r="CL34" s="1">
        <v>1</v>
      </c>
      <c r="CM34" s="1">
        <v>19</v>
      </c>
      <c r="CN34" s="1">
        <v>1</v>
      </c>
      <c r="CO34" s="1">
        <v>38</v>
      </c>
      <c r="CP34" s="1">
        <v>26</v>
      </c>
      <c r="CQ34" s="1"/>
      <c r="CR34" s="1">
        <v>5</v>
      </c>
      <c r="CS34" s="9">
        <v>298</v>
      </c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9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9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9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9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9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9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9"/>
      <c r="HW34" s="1"/>
      <c r="HX34" s="1"/>
      <c r="HY34" s="1">
        <v>110</v>
      </c>
      <c r="HZ34" s="1">
        <v>355</v>
      </c>
      <c r="IA34" s="1">
        <v>217</v>
      </c>
      <c r="IB34" s="1">
        <v>29</v>
      </c>
      <c r="IC34" s="1">
        <v>163</v>
      </c>
      <c r="ID34" s="1">
        <v>232</v>
      </c>
      <c r="IE34" s="1">
        <v>160</v>
      </c>
      <c r="IF34" s="1">
        <v>184</v>
      </c>
      <c r="IG34" s="1">
        <v>218</v>
      </c>
      <c r="IH34" s="1">
        <v>202</v>
      </c>
      <c r="II34" s="1">
        <v>458</v>
      </c>
      <c r="IJ34" s="1">
        <v>61</v>
      </c>
      <c r="IK34" s="1">
        <v>230</v>
      </c>
      <c r="IL34" s="1">
        <v>96</v>
      </c>
      <c r="IM34" s="1">
        <v>43</v>
      </c>
      <c r="IN34" s="1">
        <v>77</v>
      </c>
      <c r="IO34" s="1">
        <v>2835</v>
      </c>
    </row>
    <row r="35" spans="1:249" s="6" customFormat="1" x14ac:dyDescent="0.4">
      <c r="A35" s="6" t="s">
        <v>43</v>
      </c>
      <c r="B35" s="6" t="s">
        <v>13</v>
      </c>
      <c r="C35" s="7"/>
      <c r="D35" s="7"/>
      <c r="E35" s="7">
        <v>2</v>
      </c>
      <c r="F35" s="7">
        <v>14</v>
      </c>
      <c r="G35" s="7"/>
      <c r="H35" s="7">
        <v>39</v>
      </c>
      <c r="I35" s="7"/>
      <c r="J35" s="7">
        <v>19</v>
      </c>
      <c r="K35" s="7">
        <v>47</v>
      </c>
      <c r="L35" s="7">
        <v>10</v>
      </c>
      <c r="M35" s="7">
        <v>1</v>
      </c>
      <c r="N35" s="7">
        <v>23</v>
      </c>
      <c r="O35" s="7"/>
      <c r="P35" s="7">
        <v>9</v>
      </c>
      <c r="Q35" s="7"/>
      <c r="R35" s="7"/>
      <c r="S35" s="7">
        <v>3</v>
      </c>
      <c r="T35" s="7"/>
      <c r="U35" s="9">
        <v>167</v>
      </c>
      <c r="V35" s="7"/>
      <c r="W35" s="7"/>
      <c r="X35" s="7"/>
      <c r="Y35" s="7">
        <v>19</v>
      </c>
      <c r="Z35" s="7">
        <v>1</v>
      </c>
      <c r="AA35" s="7">
        <v>2</v>
      </c>
      <c r="AB35" s="7"/>
      <c r="AC35" s="7"/>
      <c r="AD35" s="7">
        <v>7</v>
      </c>
      <c r="AE35" s="7">
        <v>1</v>
      </c>
      <c r="AF35" s="7"/>
      <c r="AG35" s="7">
        <v>2</v>
      </c>
      <c r="AH35" s="7"/>
      <c r="AI35" s="7">
        <v>43</v>
      </c>
      <c r="AJ35" s="7"/>
      <c r="AK35" s="7"/>
      <c r="AL35" s="7"/>
      <c r="AM35" s="7"/>
      <c r="AN35" s="9">
        <v>75</v>
      </c>
      <c r="AO35" s="7"/>
      <c r="AP35" s="7"/>
      <c r="AQ35" s="7">
        <v>9</v>
      </c>
      <c r="AR35" s="7">
        <v>5</v>
      </c>
      <c r="AS35" s="7"/>
      <c r="AT35" s="7">
        <v>1</v>
      </c>
      <c r="AU35" s="7"/>
      <c r="AV35" s="7">
        <v>5</v>
      </c>
      <c r="AW35" s="7">
        <v>37</v>
      </c>
      <c r="AX35" s="7">
        <v>1</v>
      </c>
      <c r="AY35" s="7"/>
      <c r="AZ35" s="7">
        <v>3</v>
      </c>
      <c r="BA35" s="7"/>
      <c r="BB35" s="7">
        <v>1</v>
      </c>
      <c r="BC35" s="7"/>
      <c r="BD35" s="7">
        <v>1</v>
      </c>
      <c r="BE35" s="7"/>
      <c r="BF35" s="7"/>
      <c r="BG35" s="9">
        <v>63</v>
      </c>
      <c r="BH35" s="7"/>
      <c r="BI35" s="7"/>
      <c r="BJ35" s="7">
        <v>3</v>
      </c>
      <c r="BK35" s="7">
        <v>5</v>
      </c>
      <c r="BL35" s="7"/>
      <c r="BM35" s="7">
        <v>4</v>
      </c>
      <c r="BN35" s="7"/>
      <c r="BO35" s="7">
        <v>1</v>
      </c>
      <c r="BP35" s="7">
        <v>28</v>
      </c>
      <c r="BQ35" s="7">
        <v>4</v>
      </c>
      <c r="BR35" s="7"/>
      <c r="BS35" s="7">
        <v>1</v>
      </c>
      <c r="BT35" s="7">
        <v>6</v>
      </c>
      <c r="BU35" s="7">
        <v>2</v>
      </c>
      <c r="BV35" s="7"/>
      <c r="BW35" s="7">
        <v>1</v>
      </c>
      <c r="BX35" s="7"/>
      <c r="BY35" s="7"/>
      <c r="BZ35" s="9">
        <v>55</v>
      </c>
      <c r="CA35" s="7"/>
      <c r="CB35" s="7"/>
      <c r="CC35" s="7">
        <v>4</v>
      </c>
      <c r="CD35" s="7">
        <v>3</v>
      </c>
      <c r="CE35" s="7">
        <v>2</v>
      </c>
      <c r="CF35" s="7">
        <v>10</v>
      </c>
      <c r="CG35" s="7"/>
      <c r="CH35" s="7"/>
      <c r="CI35" s="7">
        <v>34</v>
      </c>
      <c r="CJ35" s="7"/>
      <c r="CK35" s="7"/>
      <c r="CL35" s="7"/>
      <c r="CM35" s="7"/>
      <c r="CN35" s="7">
        <v>2</v>
      </c>
      <c r="CO35" s="7"/>
      <c r="CP35" s="7"/>
      <c r="CQ35" s="7"/>
      <c r="CR35" s="7"/>
      <c r="CS35" s="9">
        <v>55</v>
      </c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9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9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9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9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9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9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9"/>
      <c r="HW35" s="7"/>
      <c r="HX35" s="7"/>
      <c r="HY35" s="7">
        <v>87</v>
      </c>
      <c r="HZ35" s="7">
        <v>145</v>
      </c>
      <c r="IA35" s="7">
        <v>36</v>
      </c>
      <c r="IB35" s="7">
        <v>67</v>
      </c>
      <c r="IC35" s="7">
        <v>68</v>
      </c>
      <c r="ID35" s="7">
        <v>117</v>
      </c>
      <c r="IE35" s="7">
        <v>268</v>
      </c>
      <c r="IF35" s="7">
        <v>55</v>
      </c>
      <c r="IG35" s="7">
        <v>77</v>
      </c>
      <c r="IH35" s="7">
        <v>30</v>
      </c>
      <c r="II35" s="7">
        <v>6</v>
      </c>
      <c r="IJ35" s="7">
        <v>42</v>
      </c>
      <c r="IK35" s="7">
        <v>80</v>
      </c>
      <c r="IL35" s="7">
        <v>6</v>
      </c>
      <c r="IM35" s="7"/>
      <c r="IN35" s="7">
        <v>2</v>
      </c>
      <c r="IO35" s="7">
        <v>1086</v>
      </c>
    </row>
    <row r="36" spans="1:249" x14ac:dyDescent="0.4">
      <c r="A36" t="s">
        <v>43</v>
      </c>
      <c r="B36" t="s">
        <v>21</v>
      </c>
      <c r="C36" s="1"/>
      <c r="D36" s="1">
        <v>25</v>
      </c>
      <c r="E36" s="1">
        <v>24</v>
      </c>
      <c r="F36" s="1">
        <v>41</v>
      </c>
      <c r="G36" s="1">
        <v>103</v>
      </c>
      <c r="H36" s="1">
        <v>17</v>
      </c>
      <c r="I36" s="1">
        <v>50</v>
      </c>
      <c r="J36" s="1"/>
      <c r="K36" s="1">
        <v>1</v>
      </c>
      <c r="L36" s="1">
        <v>34</v>
      </c>
      <c r="M36" s="1">
        <v>94</v>
      </c>
      <c r="N36" s="1">
        <v>13</v>
      </c>
      <c r="O36" s="1">
        <v>42</v>
      </c>
      <c r="P36" s="1">
        <v>7</v>
      </c>
      <c r="Q36" s="1">
        <v>94</v>
      </c>
      <c r="R36" s="1">
        <v>15</v>
      </c>
      <c r="S36" s="1">
        <v>9</v>
      </c>
      <c r="T36" s="1">
        <v>6</v>
      </c>
      <c r="U36" s="9">
        <v>575</v>
      </c>
      <c r="V36" s="1"/>
      <c r="W36" s="1">
        <v>4</v>
      </c>
      <c r="X36" s="1">
        <v>18</v>
      </c>
      <c r="Y36" s="1">
        <v>12</v>
      </c>
      <c r="Z36" s="1">
        <v>19</v>
      </c>
      <c r="AA36" s="1">
        <v>14</v>
      </c>
      <c r="AB36" s="1"/>
      <c r="AC36" s="1">
        <v>3</v>
      </c>
      <c r="AD36" s="1">
        <v>3</v>
      </c>
      <c r="AE36" s="1">
        <v>3</v>
      </c>
      <c r="AF36" s="1">
        <v>10</v>
      </c>
      <c r="AG36" s="1">
        <v>13</v>
      </c>
      <c r="AH36" s="1"/>
      <c r="AI36" s="1">
        <v>10</v>
      </c>
      <c r="AJ36" s="1">
        <v>39</v>
      </c>
      <c r="AK36" s="1">
        <v>10</v>
      </c>
      <c r="AL36" s="1">
        <v>9</v>
      </c>
      <c r="AM36" s="1">
        <v>34</v>
      </c>
      <c r="AN36" s="9">
        <v>201</v>
      </c>
      <c r="AO36" s="1"/>
      <c r="AP36" s="1">
        <v>54</v>
      </c>
      <c r="AQ36" s="1">
        <v>14</v>
      </c>
      <c r="AR36" s="1">
        <v>40</v>
      </c>
      <c r="AS36" s="1">
        <v>42</v>
      </c>
      <c r="AT36" s="1">
        <v>5</v>
      </c>
      <c r="AU36" s="1">
        <v>10</v>
      </c>
      <c r="AV36" s="1">
        <v>12</v>
      </c>
      <c r="AW36" s="1"/>
      <c r="AX36" s="1">
        <v>3</v>
      </c>
      <c r="AY36" s="1">
        <v>12</v>
      </c>
      <c r="AZ36" s="1">
        <v>3</v>
      </c>
      <c r="BA36" s="1">
        <v>57</v>
      </c>
      <c r="BB36" s="1">
        <v>2</v>
      </c>
      <c r="BC36" s="1">
        <v>23</v>
      </c>
      <c r="BD36" s="1">
        <v>2</v>
      </c>
      <c r="BE36" s="1">
        <v>10</v>
      </c>
      <c r="BF36" s="1">
        <v>7</v>
      </c>
      <c r="BG36" s="9">
        <v>296</v>
      </c>
      <c r="BH36" s="1"/>
      <c r="BI36" s="1">
        <v>4</v>
      </c>
      <c r="BJ36" s="1">
        <v>4</v>
      </c>
      <c r="BK36" s="1">
        <v>14</v>
      </c>
      <c r="BL36" s="1">
        <v>30</v>
      </c>
      <c r="BM36" s="1">
        <v>5</v>
      </c>
      <c r="BN36" s="1">
        <v>3</v>
      </c>
      <c r="BO36" s="1">
        <v>2</v>
      </c>
      <c r="BP36" s="1">
        <v>22</v>
      </c>
      <c r="BQ36" s="1"/>
      <c r="BR36" s="1">
        <v>80</v>
      </c>
      <c r="BS36" s="1">
        <v>31</v>
      </c>
      <c r="BT36" s="1">
        <v>32</v>
      </c>
      <c r="BU36" s="1">
        <v>1</v>
      </c>
      <c r="BV36" s="1">
        <v>16</v>
      </c>
      <c r="BW36" s="1">
        <v>2</v>
      </c>
      <c r="BX36" s="1">
        <v>3</v>
      </c>
      <c r="BY36" s="1">
        <v>18</v>
      </c>
      <c r="BZ36" s="9">
        <v>267</v>
      </c>
      <c r="CA36" s="1"/>
      <c r="CB36" s="1">
        <v>8</v>
      </c>
      <c r="CC36" s="1">
        <v>2</v>
      </c>
      <c r="CD36" s="1">
        <v>6</v>
      </c>
      <c r="CE36" s="1">
        <v>4</v>
      </c>
      <c r="CF36" s="1">
        <v>19</v>
      </c>
      <c r="CG36" s="1"/>
      <c r="CH36" s="1">
        <v>13</v>
      </c>
      <c r="CI36" s="1"/>
      <c r="CJ36" s="1">
        <v>3</v>
      </c>
      <c r="CK36" s="1">
        <v>50</v>
      </c>
      <c r="CL36" s="1">
        <v>2</v>
      </c>
      <c r="CM36" s="1">
        <v>10</v>
      </c>
      <c r="CN36" s="1">
        <v>11</v>
      </c>
      <c r="CO36" s="1">
        <v>29</v>
      </c>
      <c r="CP36" s="1">
        <v>19</v>
      </c>
      <c r="CQ36" s="1">
        <v>4</v>
      </c>
      <c r="CR36" s="1">
        <v>17</v>
      </c>
      <c r="CS36" s="9">
        <v>197</v>
      </c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9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9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9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9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9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9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9"/>
      <c r="HW36" s="1"/>
      <c r="HX36" s="1">
        <v>124</v>
      </c>
      <c r="HY36" s="1">
        <v>152</v>
      </c>
      <c r="HZ36" s="1">
        <v>213</v>
      </c>
      <c r="IA36" s="1">
        <v>103</v>
      </c>
      <c r="IB36" s="1">
        <v>243</v>
      </c>
      <c r="IC36" s="1">
        <v>52</v>
      </c>
      <c r="ID36" s="1">
        <v>97</v>
      </c>
      <c r="IE36" s="1">
        <v>241</v>
      </c>
      <c r="IF36" s="1">
        <v>390</v>
      </c>
      <c r="IG36" s="1">
        <v>187</v>
      </c>
      <c r="IH36" s="1">
        <v>170</v>
      </c>
      <c r="II36" s="1">
        <v>219</v>
      </c>
      <c r="IJ36" s="1">
        <v>68</v>
      </c>
      <c r="IK36" s="1">
        <v>195</v>
      </c>
      <c r="IL36" s="1">
        <v>82</v>
      </c>
      <c r="IM36" s="1">
        <v>71</v>
      </c>
      <c r="IN36" s="1">
        <v>138</v>
      </c>
      <c r="IO36" s="1">
        <v>2745</v>
      </c>
    </row>
    <row r="37" spans="1:249" x14ac:dyDescent="0.4">
      <c r="A37" t="s">
        <v>43</v>
      </c>
      <c r="B37" t="s">
        <v>14</v>
      </c>
      <c r="C37" s="1"/>
      <c r="D37" s="1"/>
      <c r="E37" s="1">
        <v>2</v>
      </c>
      <c r="F37" s="1">
        <v>1</v>
      </c>
      <c r="G37" s="1"/>
      <c r="H37" s="1"/>
      <c r="I37" s="1"/>
      <c r="J37" s="1">
        <v>1</v>
      </c>
      <c r="K37" s="1">
        <v>1</v>
      </c>
      <c r="L37" s="1"/>
      <c r="M37" s="1"/>
      <c r="N37" s="1"/>
      <c r="O37" s="1"/>
      <c r="P37" s="1">
        <v>2</v>
      </c>
      <c r="Q37" s="1"/>
      <c r="R37" s="1">
        <v>1</v>
      </c>
      <c r="S37" s="1"/>
      <c r="T37" s="1"/>
      <c r="U37" s="9">
        <v>8</v>
      </c>
      <c r="V37" s="1"/>
      <c r="W37" s="1"/>
      <c r="X37" s="1"/>
      <c r="Y37" s="1">
        <v>1</v>
      </c>
      <c r="Z37" s="1"/>
      <c r="AA37" s="1"/>
      <c r="AB37" s="1">
        <v>2</v>
      </c>
      <c r="AC37" s="1"/>
      <c r="AD37" s="1"/>
      <c r="AE37" s="1"/>
      <c r="AF37" s="1">
        <v>2</v>
      </c>
      <c r="AG37" s="1"/>
      <c r="AH37" s="1">
        <v>1</v>
      </c>
      <c r="AI37" s="1"/>
      <c r="AJ37" s="1"/>
      <c r="AK37" s="1">
        <v>1</v>
      </c>
      <c r="AL37" s="1"/>
      <c r="AM37" s="1">
        <v>1</v>
      </c>
      <c r="AN37" s="9">
        <v>8</v>
      </c>
      <c r="AO37" s="1"/>
      <c r="AP37" s="1"/>
      <c r="AQ37" s="1"/>
      <c r="AR37" s="1">
        <v>8</v>
      </c>
      <c r="AS37" s="1"/>
      <c r="AT37" s="1">
        <v>1</v>
      </c>
      <c r="AU37" s="1">
        <v>2</v>
      </c>
      <c r="AV37" s="1"/>
      <c r="AW37" s="1"/>
      <c r="AX37" s="1">
        <v>1</v>
      </c>
      <c r="AY37" s="1">
        <v>5</v>
      </c>
      <c r="AZ37" s="1"/>
      <c r="BA37" s="1">
        <v>5</v>
      </c>
      <c r="BB37" s="1">
        <v>1</v>
      </c>
      <c r="BC37" s="1"/>
      <c r="BD37" s="1"/>
      <c r="BE37" s="1"/>
      <c r="BF37" s="1"/>
      <c r="BG37" s="9">
        <v>23</v>
      </c>
      <c r="BH37" s="1"/>
      <c r="BI37" s="1"/>
      <c r="BJ37" s="1">
        <v>1</v>
      </c>
      <c r="BK37" s="1">
        <v>1</v>
      </c>
      <c r="BL37" s="1"/>
      <c r="BM37" s="1"/>
      <c r="BN37" s="1"/>
      <c r="BO37" s="1">
        <v>1</v>
      </c>
      <c r="BP37" s="1">
        <v>2</v>
      </c>
      <c r="BQ37" s="1">
        <v>8</v>
      </c>
      <c r="BR37" s="1">
        <v>2</v>
      </c>
      <c r="BS37" s="1"/>
      <c r="BT37" s="1">
        <v>3</v>
      </c>
      <c r="BU37" s="1">
        <v>2</v>
      </c>
      <c r="BV37" s="1">
        <v>4</v>
      </c>
      <c r="BW37" s="1"/>
      <c r="BX37" s="1"/>
      <c r="BY37" s="1"/>
      <c r="BZ37" s="9">
        <v>24</v>
      </c>
      <c r="CA37" s="1"/>
      <c r="CB37" s="1"/>
      <c r="CC37" s="1"/>
      <c r="CD37" s="1">
        <v>4</v>
      </c>
      <c r="CE37" s="1"/>
      <c r="CF37" s="1"/>
      <c r="CG37" s="1"/>
      <c r="CH37" s="1"/>
      <c r="CI37" s="1"/>
      <c r="CJ37" s="1">
        <v>1</v>
      </c>
      <c r="CK37" s="1"/>
      <c r="CL37" s="1">
        <v>1</v>
      </c>
      <c r="CM37" s="1">
        <v>2</v>
      </c>
      <c r="CN37" s="1">
        <v>2</v>
      </c>
      <c r="CO37" s="1"/>
      <c r="CP37" s="1"/>
      <c r="CQ37" s="1"/>
      <c r="CR37" s="1"/>
      <c r="CS37" s="9">
        <v>10</v>
      </c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9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9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9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9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9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9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9"/>
      <c r="HW37" s="1"/>
      <c r="HX37" s="1"/>
      <c r="HY37" s="1">
        <v>35</v>
      </c>
      <c r="HZ37" s="1">
        <v>6</v>
      </c>
      <c r="IA37" s="1">
        <v>10</v>
      </c>
      <c r="IB37" s="1">
        <v>22</v>
      </c>
      <c r="IC37" s="1">
        <v>21</v>
      </c>
      <c r="ID37" s="1">
        <v>24</v>
      </c>
      <c r="IE37" s="1">
        <v>17</v>
      </c>
      <c r="IF37" s="1">
        <v>6</v>
      </c>
      <c r="IG37" s="1">
        <v>10</v>
      </c>
      <c r="IH37" s="1">
        <v>10</v>
      </c>
      <c r="II37" s="1">
        <v>38</v>
      </c>
      <c r="IJ37" s="1">
        <v>2</v>
      </c>
      <c r="IK37" s="1">
        <v>11</v>
      </c>
      <c r="IL37" s="1">
        <v>2</v>
      </c>
      <c r="IM37" s="1">
        <v>2</v>
      </c>
      <c r="IN37" s="1">
        <v>6</v>
      </c>
      <c r="IO37" s="1">
        <v>222</v>
      </c>
    </row>
    <row r="38" spans="1:249" x14ac:dyDescent="0.4">
      <c r="A38" t="s">
        <v>43</v>
      </c>
      <c r="B38" t="s">
        <v>22</v>
      </c>
      <c r="C38" s="1"/>
      <c r="D38" s="1"/>
      <c r="E38" s="1">
        <v>20</v>
      </c>
      <c r="F38" s="1">
        <v>36</v>
      </c>
      <c r="G38" s="1">
        <v>41</v>
      </c>
      <c r="H38" s="1">
        <v>1</v>
      </c>
      <c r="I38" s="1">
        <v>25</v>
      </c>
      <c r="J38" s="1">
        <v>73</v>
      </c>
      <c r="K38" s="1">
        <v>22</v>
      </c>
      <c r="L38" s="1">
        <v>34</v>
      </c>
      <c r="M38" s="1">
        <v>30</v>
      </c>
      <c r="N38" s="1">
        <v>55</v>
      </c>
      <c r="O38" s="1">
        <v>40</v>
      </c>
      <c r="P38" s="1">
        <v>6</v>
      </c>
      <c r="Q38" s="1">
        <v>119</v>
      </c>
      <c r="R38" s="1">
        <v>66</v>
      </c>
      <c r="S38" s="1">
        <v>1</v>
      </c>
      <c r="T38" s="1">
        <v>43</v>
      </c>
      <c r="U38" s="9">
        <v>612</v>
      </c>
      <c r="V38" s="1"/>
      <c r="W38" s="1"/>
      <c r="X38" s="1">
        <v>66</v>
      </c>
      <c r="Y38" s="1">
        <v>83</v>
      </c>
      <c r="Z38" s="1">
        <v>45</v>
      </c>
      <c r="AA38" s="1">
        <v>1</v>
      </c>
      <c r="AB38" s="1">
        <v>6</v>
      </c>
      <c r="AC38" s="1">
        <v>5</v>
      </c>
      <c r="AD38" s="1">
        <v>40</v>
      </c>
      <c r="AE38" s="1">
        <v>38</v>
      </c>
      <c r="AF38" s="1">
        <v>25</v>
      </c>
      <c r="AG38" s="1">
        <v>14</v>
      </c>
      <c r="AH38" s="1">
        <v>5</v>
      </c>
      <c r="AI38" s="1">
        <v>3</v>
      </c>
      <c r="AJ38" s="1">
        <v>3</v>
      </c>
      <c r="AK38" s="1">
        <v>27</v>
      </c>
      <c r="AL38" s="1"/>
      <c r="AM38" s="1">
        <v>13</v>
      </c>
      <c r="AN38" s="9">
        <v>374</v>
      </c>
      <c r="AO38" s="1"/>
      <c r="AP38" s="1"/>
      <c r="AQ38" s="1">
        <v>10</v>
      </c>
      <c r="AR38" s="1">
        <v>42</v>
      </c>
      <c r="AS38" s="1">
        <v>177</v>
      </c>
      <c r="AT38" s="1"/>
      <c r="AU38" s="1">
        <v>8</v>
      </c>
      <c r="AV38" s="1">
        <v>8</v>
      </c>
      <c r="AW38" s="1">
        <v>28</v>
      </c>
      <c r="AX38" s="1">
        <v>15</v>
      </c>
      <c r="AY38" s="1">
        <v>8</v>
      </c>
      <c r="AZ38" s="1">
        <v>64</v>
      </c>
      <c r="BA38" s="1">
        <v>11</v>
      </c>
      <c r="BB38" s="1">
        <v>20</v>
      </c>
      <c r="BC38" s="1">
        <v>26</v>
      </c>
      <c r="BD38" s="1">
        <v>1</v>
      </c>
      <c r="BE38" s="1"/>
      <c r="BF38" s="1">
        <v>75</v>
      </c>
      <c r="BG38" s="9">
        <v>493</v>
      </c>
      <c r="BH38" s="1"/>
      <c r="BI38" s="1">
        <v>9</v>
      </c>
      <c r="BJ38" s="1">
        <v>14</v>
      </c>
      <c r="BK38" s="1">
        <v>59</v>
      </c>
      <c r="BL38" s="1">
        <v>100</v>
      </c>
      <c r="BM38" s="1"/>
      <c r="BN38" s="1">
        <v>7</v>
      </c>
      <c r="BO38" s="1">
        <v>16</v>
      </c>
      <c r="BP38" s="1">
        <v>8</v>
      </c>
      <c r="BQ38" s="1">
        <v>6</v>
      </c>
      <c r="BR38" s="1">
        <v>5</v>
      </c>
      <c r="BS38" s="1">
        <v>35</v>
      </c>
      <c r="BT38" s="1">
        <v>22</v>
      </c>
      <c r="BU38" s="1">
        <v>9</v>
      </c>
      <c r="BV38" s="1">
        <v>15</v>
      </c>
      <c r="BW38" s="1">
        <v>36</v>
      </c>
      <c r="BX38" s="1">
        <v>10</v>
      </c>
      <c r="BY38" s="1">
        <v>18</v>
      </c>
      <c r="BZ38" s="9">
        <v>369</v>
      </c>
      <c r="CA38" s="1"/>
      <c r="CB38" s="1">
        <v>2</v>
      </c>
      <c r="CC38" s="1">
        <v>35</v>
      </c>
      <c r="CD38" s="1">
        <v>66</v>
      </c>
      <c r="CE38" s="1">
        <v>28</v>
      </c>
      <c r="CF38" s="1">
        <v>7</v>
      </c>
      <c r="CG38" s="1">
        <v>12</v>
      </c>
      <c r="CH38" s="1">
        <v>12</v>
      </c>
      <c r="CI38" s="1">
        <v>12</v>
      </c>
      <c r="CJ38" s="1">
        <v>7</v>
      </c>
      <c r="CK38" s="1">
        <v>9</v>
      </c>
      <c r="CL38" s="1">
        <v>27</v>
      </c>
      <c r="CM38" s="1">
        <v>30</v>
      </c>
      <c r="CN38" s="1">
        <v>1</v>
      </c>
      <c r="CO38" s="1">
        <v>18</v>
      </c>
      <c r="CP38" s="1">
        <v>2</v>
      </c>
      <c r="CQ38" s="1">
        <v>6</v>
      </c>
      <c r="CR38" s="1">
        <v>16</v>
      </c>
      <c r="CS38" s="9">
        <v>290</v>
      </c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9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9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9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9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9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9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9"/>
      <c r="HW38" s="1"/>
      <c r="HX38" s="1"/>
      <c r="HY38" s="1">
        <v>212</v>
      </c>
      <c r="HZ38" s="1">
        <v>1006</v>
      </c>
      <c r="IA38" s="1">
        <v>643</v>
      </c>
      <c r="IB38" s="1">
        <v>11</v>
      </c>
      <c r="IC38" s="1">
        <v>225</v>
      </c>
      <c r="ID38" s="1">
        <v>357</v>
      </c>
      <c r="IE38" s="1">
        <v>778</v>
      </c>
      <c r="IF38" s="1">
        <v>232</v>
      </c>
      <c r="IG38" s="1">
        <v>551</v>
      </c>
      <c r="IH38" s="1">
        <v>461</v>
      </c>
      <c r="II38" s="1">
        <v>973</v>
      </c>
      <c r="IJ38" s="1">
        <v>126</v>
      </c>
      <c r="IK38" s="1">
        <v>621</v>
      </c>
      <c r="IL38" s="1">
        <v>219</v>
      </c>
      <c r="IM38" s="1">
        <v>58</v>
      </c>
      <c r="IN38" s="1">
        <v>367</v>
      </c>
      <c r="IO38" s="1">
        <v>6840</v>
      </c>
    </row>
    <row r="39" spans="1:249" s="6" customFormat="1" x14ac:dyDescent="0.4">
      <c r="A39" s="6" t="s">
        <v>43</v>
      </c>
      <c r="B39" s="6" t="s">
        <v>1</v>
      </c>
      <c r="C39" s="7"/>
      <c r="D39" s="7"/>
      <c r="E39" s="7"/>
      <c r="F39" s="7">
        <v>14</v>
      </c>
      <c r="G39" s="7">
        <v>3</v>
      </c>
      <c r="H39" s="7">
        <v>3</v>
      </c>
      <c r="I39" s="7"/>
      <c r="J39" s="7">
        <v>2</v>
      </c>
      <c r="K39" s="7"/>
      <c r="L39" s="7"/>
      <c r="M39" s="7"/>
      <c r="N39" s="7"/>
      <c r="O39" s="7">
        <v>1</v>
      </c>
      <c r="P39" s="7"/>
      <c r="Q39" s="7">
        <v>1</v>
      </c>
      <c r="R39" s="7">
        <v>4</v>
      </c>
      <c r="S39" s="7"/>
      <c r="T39" s="7"/>
      <c r="U39" s="9">
        <v>28</v>
      </c>
      <c r="V39" s="7"/>
      <c r="W39" s="7"/>
      <c r="X39" s="7"/>
      <c r="Y39" s="7">
        <v>3</v>
      </c>
      <c r="Z39" s="7">
        <v>11</v>
      </c>
      <c r="AA39" s="7">
        <v>1</v>
      </c>
      <c r="AB39" s="7"/>
      <c r="AC39" s="7">
        <v>2</v>
      </c>
      <c r="AD39" s="7"/>
      <c r="AE39" s="7">
        <v>4</v>
      </c>
      <c r="AF39" s="7">
        <v>2</v>
      </c>
      <c r="AG39" s="7"/>
      <c r="AH39" s="7"/>
      <c r="AI39" s="7"/>
      <c r="AJ39" s="7">
        <v>2</v>
      </c>
      <c r="AK39" s="7"/>
      <c r="AL39" s="7"/>
      <c r="AM39" s="7"/>
      <c r="AN39" s="9">
        <v>25</v>
      </c>
      <c r="AO39" s="7"/>
      <c r="AP39" s="7"/>
      <c r="AQ39" s="7"/>
      <c r="AR39" s="7">
        <v>1</v>
      </c>
      <c r="AS39" s="7"/>
      <c r="AT39" s="7">
        <v>1</v>
      </c>
      <c r="AU39" s="7"/>
      <c r="AV39" s="7">
        <v>1</v>
      </c>
      <c r="AW39" s="7"/>
      <c r="AX39" s="7"/>
      <c r="AY39" s="7"/>
      <c r="AZ39" s="7"/>
      <c r="BA39" s="7"/>
      <c r="BB39" s="7">
        <v>1</v>
      </c>
      <c r="BC39" s="7">
        <v>1</v>
      </c>
      <c r="BD39" s="7"/>
      <c r="BE39" s="7"/>
      <c r="BF39" s="7"/>
      <c r="BG39" s="9">
        <v>5</v>
      </c>
      <c r="BH39" s="7"/>
      <c r="BI39" s="7"/>
      <c r="BJ39" s="7"/>
      <c r="BK39" s="7">
        <v>11</v>
      </c>
      <c r="BL39" s="7">
        <v>9</v>
      </c>
      <c r="BM39" s="7">
        <v>2</v>
      </c>
      <c r="BN39" s="7">
        <v>1</v>
      </c>
      <c r="BO39" s="7">
        <v>2</v>
      </c>
      <c r="BP39" s="7">
        <v>3</v>
      </c>
      <c r="BQ39" s="7"/>
      <c r="BR39" s="7"/>
      <c r="BS39" s="7">
        <v>4</v>
      </c>
      <c r="BT39" s="7"/>
      <c r="BU39" s="7">
        <v>1</v>
      </c>
      <c r="BV39" s="7">
        <v>3</v>
      </c>
      <c r="BW39" s="7">
        <v>1</v>
      </c>
      <c r="BX39" s="7">
        <v>1</v>
      </c>
      <c r="BY39" s="7"/>
      <c r="BZ39" s="9">
        <v>38</v>
      </c>
      <c r="CA39" s="7"/>
      <c r="CB39" s="7"/>
      <c r="CC39" s="7"/>
      <c r="CD39" s="7">
        <v>4</v>
      </c>
      <c r="CE39" s="7">
        <v>42</v>
      </c>
      <c r="CF39" s="7">
        <v>1</v>
      </c>
      <c r="CG39" s="7"/>
      <c r="CH39" s="7">
        <v>1</v>
      </c>
      <c r="CI39" s="7"/>
      <c r="CJ39" s="7">
        <v>6</v>
      </c>
      <c r="CK39" s="7">
        <v>1</v>
      </c>
      <c r="CL39" s="7">
        <v>9</v>
      </c>
      <c r="CM39" s="7">
        <v>5</v>
      </c>
      <c r="CN39" s="7">
        <v>1</v>
      </c>
      <c r="CO39" s="7">
        <v>48</v>
      </c>
      <c r="CP39" s="7">
        <v>1</v>
      </c>
      <c r="CQ39" s="7"/>
      <c r="CR39" s="7"/>
      <c r="CS39" s="9">
        <v>119</v>
      </c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9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9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9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9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9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9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9"/>
      <c r="HW39" s="7"/>
      <c r="HX39" s="7">
        <v>44</v>
      </c>
      <c r="HY39" s="7">
        <v>42</v>
      </c>
      <c r="HZ39" s="7">
        <v>101</v>
      </c>
      <c r="IA39" s="7">
        <v>25</v>
      </c>
      <c r="IB39" s="7">
        <v>19</v>
      </c>
      <c r="IC39" s="7">
        <v>6</v>
      </c>
      <c r="ID39" s="7">
        <v>41</v>
      </c>
      <c r="IE39" s="7">
        <v>13</v>
      </c>
      <c r="IF39" s="7">
        <v>37</v>
      </c>
      <c r="IG39" s="7">
        <v>13</v>
      </c>
      <c r="IH39" s="7">
        <v>21</v>
      </c>
      <c r="II39" s="7">
        <v>94</v>
      </c>
      <c r="IJ39" s="7">
        <v>20</v>
      </c>
      <c r="IK39" s="7">
        <v>27</v>
      </c>
      <c r="IL39" s="7">
        <v>17</v>
      </c>
      <c r="IM39" s="7">
        <v>8</v>
      </c>
      <c r="IN39" s="7">
        <v>11</v>
      </c>
      <c r="IO39" s="7">
        <v>539</v>
      </c>
    </row>
    <row r="40" spans="1:249" x14ac:dyDescent="0.4">
      <c r="A40" t="s">
        <v>43</v>
      </c>
      <c r="B40" t="s">
        <v>8</v>
      </c>
      <c r="C40" s="1"/>
      <c r="D40" s="1"/>
      <c r="E40" s="1">
        <v>3</v>
      </c>
      <c r="F40" s="1">
        <v>4</v>
      </c>
      <c r="G40" s="1">
        <v>8</v>
      </c>
      <c r="H40" s="1"/>
      <c r="I40" s="1">
        <v>1</v>
      </c>
      <c r="J40" s="1"/>
      <c r="K40" s="1">
        <v>3</v>
      </c>
      <c r="L40" s="1">
        <v>3</v>
      </c>
      <c r="M40" s="1">
        <v>2</v>
      </c>
      <c r="N40" s="1"/>
      <c r="O40" s="1">
        <v>8</v>
      </c>
      <c r="P40" s="1">
        <v>2</v>
      </c>
      <c r="Q40" s="1">
        <v>3</v>
      </c>
      <c r="R40" s="1">
        <v>2</v>
      </c>
      <c r="S40" s="1"/>
      <c r="T40" s="1"/>
      <c r="U40" s="9">
        <v>39</v>
      </c>
      <c r="V40" s="1"/>
      <c r="W40" s="1"/>
      <c r="X40" s="1"/>
      <c r="Y40" s="1">
        <v>3</v>
      </c>
      <c r="Z40" s="1">
        <v>33</v>
      </c>
      <c r="AA40" s="1">
        <v>1</v>
      </c>
      <c r="AB40" s="1">
        <v>6</v>
      </c>
      <c r="AC40" s="1"/>
      <c r="AD40" s="1">
        <v>4</v>
      </c>
      <c r="AE40" s="1">
        <v>3</v>
      </c>
      <c r="AF40" s="1"/>
      <c r="AG40" s="1">
        <v>4</v>
      </c>
      <c r="AH40" s="1">
        <v>9</v>
      </c>
      <c r="AI40" s="1"/>
      <c r="AJ40" s="1">
        <v>1</v>
      </c>
      <c r="AK40" s="1"/>
      <c r="AL40" s="1"/>
      <c r="AM40" s="1"/>
      <c r="AN40" s="9">
        <v>64</v>
      </c>
      <c r="AO40" s="1"/>
      <c r="AP40" s="1"/>
      <c r="AQ40" s="1">
        <v>4</v>
      </c>
      <c r="AR40" s="1">
        <v>11</v>
      </c>
      <c r="AS40" s="1">
        <v>29</v>
      </c>
      <c r="AT40" s="1">
        <v>1</v>
      </c>
      <c r="AU40" s="1">
        <v>2</v>
      </c>
      <c r="AV40" s="1">
        <v>2</v>
      </c>
      <c r="AW40" s="1">
        <v>4</v>
      </c>
      <c r="AX40" s="1">
        <v>2</v>
      </c>
      <c r="AY40" s="1"/>
      <c r="AZ40" s="1">
        <v>2</v>
      </c>
      <c r="BA40" s="1">
        <v>15</v>
      </c>
      <c r="BB40" s="1"/>
      <c r="BC40" s="1">
        <v>6</v>
      </c>
      <c r="BD40" s="1">
        <v>2</v>
      </c>
      <c r="BE40" s="1"/>
      <c r="BF40" s="1">
        <v>3</v>
      </c>
      <c r="BG40" s="9">
        <v>83</v>
      </c>
      <c r="BH40" s="1"/>
      <c r="BI40" s="1"/>
      <c r="BJ40" s="1">
        <v>5</v>
      </c>
      <c r="BK40" s="1">
        <v>15</v>
      </c>
      <c r="BL40" s="1">
        <v>15</v>
      </c>
      <c r="BM40" s="1"/>
      <c r="BN40" s="1">
        <v>2</v>
      </c>
      <c r="BO40" s="1">
        <v>5</v>
      </c>
      <c r="BP40" s="1">
        <v>3</v>
      </c>
      <c r="BQ40" s="1">
        <v>4</v>
      </c>
      <c r="BR40" s="1"/>
      <c r="BS40" s="1">
        <v>4</v>
      </c>
      <c r="BT40" s="1">
        <v>5</v>
      </c>
      <c r="BU40" s="1"/>
      <c r="BV40" s="1">
        <v>5</v>
      </c>
      <c r="BW40" s="1"/>
      <c r="BX40" s="1"/>
      <c r="BY40" s="1">
        <v>2</v>
      </c>
      <c r="BZ40" s="9">
        <v>65</v>
      </c>
      <c r="CA40" s="1"/>
      <c r="CB40" s="1"/>
      <c r="CC40" s="1">
        <v>7</v>
      </c>
      <c r="CD40" s="1">
        <v>28</v>
      </c>
      <c r="CE40" s="1">
        <v>54</v>
      </c>
      <c r="CF40" s="1"/>
      <c r="CG40" s="1">
        <v>1</v>
      </c>
      <c r="CH40" s="1">
        <v>7</v>
      </c>
      <c r="CI40" s="1">
        <v>1</v>
      </c>
      <c r="CJ40" s="1">
        <v>8</v>
      </c>
      <c r="CK40" s="1">
        <v>3</v>
      </c>
      <c r="CL40" s="1">
        <v>4</v>
      </c>
      <c r="CM40" s="1">
        <v>4</v>
      </c>
      <c r="CN40" s="1"/>
      <c r="CO40" s="1">
        <v>7</v>
      </c>
      <c r="CP40" s="1">
        <v>2</v>
      </c>
      <c r="CQ40" s="1"/>
      <c r="CR40" s="1">
        <v>6</v>
      </c>
      <c r="CS40" s="9">
        <v>132</v>
      </c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9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9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9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9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9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9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9"/>
      <c r="HW40" s="1"/>
      <c r="HX40" s="1"/>
      <c r="HY40" s="1">
        <v>29</v>
      </c>
      <c r="HZ40" s="1">
        <v>203</v>
      </c>
      <c r="IA40" s="1">
        <v>250</v>
      </c>
      <c r="IB40" s="1">
        <v>8</v>
      </c>
      <c r="IC40" s="1">
        <v>39</v>
      </c>
      <c r="ID40" s="1">
        <v>24</v>
      </c>
      <c r="IE40" s="1">
        <v>27</v>
      </c>
      <c r="IF40" s="1">
        <v>12</v>
      </c>
      <c r="IG40" s="1">
        <v>46</v>
      </c>
      <c r="IH40" s="1">
        <v>52</v>
      </c>
      <c r="II40" s="1">
        <v>129</v>
      </c>
      <c r="IJ40" s="1">
        <v>29</v>
      </c>
      <c r="IK40" s="1">
        <v>33</v>
      </c>
      <c r="IL40" s="1">
        <v>35</v>
      </c>
      <c r="IM40" s="1"/>
      <c r="IN40" s="1">
        <v>67</v>
      </c>
      <c r="IO40" s="1">
        <v>983</v>
      </c>
    </row>
    <row r="41" spans="1:249" s="6" customFormat="1" x14ac:dyDescent="0.4">
      <c r="A41" s="6" t="s">
        <v>43</v>
      </c>
      <c r="B41" s="6" t="s">
        <v>16</v>
      </c>
      <c r="C41" s="7"/>
      <c r="D41" s="7"/>
      <c r="E41" s="7"/>
      <c r="F41" s="7">
        <v>1</v>
      </c>
      <c r="G41" s="7"/>
      <c r="H41" s="7">
        <v>21</v>
      </c>
      <c r="I41" s="7">
        <v>1</v>
      </c>
      <c r="J41" s="7">
        <v>6</v>
      </c>
      <c r="K41" s="7">
        <v>24</v>
      </c>
      <c r="L41" s="7">
        <v>2</v>
      </c>
      <c r="M41" s="7">
        <v>1</v>
      </c>
      <c r="N41" s="7"/>
      <c r="O41" s="7"/>
      <c r="P41" s="7"/>
      <c r="Q41" s="7"/>
      <c r="R41" s="7"/>
      <c r="S41" s="7"/>
      <c r="T41" s="7"/>
      <c r="U41" s="9">
        <v>56</v>
      </c>
      <c r="V41" s="7"/>
      <c r="W41" s="7"/>
      <c r="X41" s="7">
        <v>1</v>
      </c>
      <c r="Y41" s="7">
        <v>1</v>
      </c>
      <c r="Z41" s="7"/>
      <c r="AA41" s="7"/>
      <c r="AB41" s="7"/>
      <c r="AC41" s="7">
        <v>5</v>
      </c>
      <c r="AD41" s="7"/>
      <c r="AE41" s="7"/>
      <c r="AF41" s="7"/>
      <c r="AG41" s="7"/>
      <c r="AH41" s="7"/>
      <c r="AI41" s="7"/>
      <c r="AJ41" s="7">
        <v>38</v>
      </c>
      <c r="AK41" s="7"/>
      <c r="AL41" s="7">
        <v>1</v>
      </c>
      <c r="AM41" s="7"/>
      <c r="AN41" s="9">
        <v>46</v>
      </c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>
        <v>1</v>
      </c>
      <c r="BD41" s="7"/>
      <c r="BE41" s="7">
        <v>1</v>
      </c>
      <c r="BF41" s="7">
        <v>1</v>
      </c>
      <c r="BG41" s="9">
        <v>3</v>
      </c>
      <c r="BH41" s="7"/>
      <c r="BI41" s="7"/>
      <c r="BJ41" s="7"/>
      <c r="BK41" s="7"/>
      <c r="BL41" s="7"/>
      <c r="BM41" s="7"/>
      <c r="BN41" s="7"/>
      <c r="BO41" s="7"/>
      <c r="BP41" s="7">
        <v>1</v>
      </c>
      <c r="BQ41" s="7"/>
      <c r="BR41" s="7"/>
      <c r="BS41" s="7"/>
      <c r="BT41" s="7"/>
      <c r="BU41" s="7"/>
      <c r="BV41" s="7"/>
      <c r="BW41" s="7"/>
      <c r="BX41" s="7"/>
      <c r="BY41" s="7"/>
      <c r="BZ41" s="9">
        <v>1</v>
      </c>
      <c r="CA41" s="7"/>
      <c r="CB41" s="7"/>
      <c r="CC41" s="7"/>
      <c r="CD41" s="7"/>
      <c r="CE41" s="7"/>
      <c r="CF41" s="7">
        <v>1</v>
      </c>
      <c r="CG41" s="7"/>
      <c r="CH41" s="7"/>
      <c r="CI41" s="7"/>
      <c r="CJ41" s="7"/>
      <c r="CK41" s="7"/>
      <c r="CL41" s="7"/>
      <c r="CM41" s="7"/>
      <c r="CN41" s="7">
        <v>2</v>
      </c>
      <c r="CO41" s="7"/>
      <c r="CP41" s="7"/>
      <c r="CQ41" s="7"/>
      <c r="CR41" s="7"/>
      <c r="CS41" s="9">
        <v>3</v>
      </c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9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9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9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9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9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9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9"/>
      <c r="HW41" s="7"/>
      <c r="HX41" s="7">
        <v>10</v>
      </c>
      <c r="HY41" s="7">
        <v>4</v>
      </c>
      <c r="HZ41" s="7">
        <v>16</v>
      </c>
      <c r="IA41" s="7">
        <v>4</v>
      </c>
      <c r="IB41" s="7">
        <v>9</v>
      </c>
      <c r="IC41" s="7">
        <v>7</v>
      </c>
      <c r="ID41" s="7">
        <v>6</v>
      </c>
      <c r="IE41" s="7">
        <v>7</v>
      </c>
      <c r="IF41" s="7">
        <v>8</v>
      </c>
      <c r="IG41" s="7">
        <v>39</v>
      </c>
      <c r="IH41" s="7">
        <v>3</v>
      </c>
      <c r="II41" s="7">
        <v>6</v>
      </c>
      <c r="IJ41" s="7">
        <v>1</v>
      </c>
      <c r="IK41" s="7">
        <v>4</v>
      </c>
      <c r="IL41" s="7">
        <v>3</v>
      </c>
      <c r="IM41" s="7">
        <v>3</v>
      </c>
      <c r="IN41" s="7">
        <v>2</v>
      </c>
      <c r="IO41" s="7">
        <v>132</v>
      </c>
    </row>
    <row r="42" spans="1:249" x14ac:dyDescent="0.4">
      <c r="A42" t="s">
        <v>43</v>
      </c>
      <c r="B42" t="s">
        <v>24</v>
      </c>
      <c r="C42" s="1"/>
      <c r="D42" s="1">
        <v>15</v>
      </c>
      <c r="E42" s="1"/>
      <c r="F42" s="1">
        <v>21</v>
      </c>
      <c r="G42" s="1">
        <v>1</v>
      </c>
      <c r="H42" s="1">
        <v>37</v>
      </c>
      <c r="I42" s="1">
        <v>5</v>
      </c>
      <c r="J42" s="1"/>
      <c r="K42" s="1">
        <v>15</v>
      </c>
      <c r="L42" s="1"/>
      <c r="M42" s="1"/>
      <c r="N42" s="1">
        <v>1</v>
      </c>
      <c r="O42" s="1"/>
      <c r="P42" s="1">
        <v>6</v>
      </c>
      <c r="Q42" s="1">
        <v>1</v>
      </c>
      <c r="R42" s="1">
        <v>2</v>
      </c>
      <c r="S42" s="1"/>
      <c r="T42" s="1"/>
      <c r="U42" s="9">
        <v>104</v>
      </c>
      <c r="V42" s="1"/>
      <c r="W42" s="1"/>
      <c r="X42" s="1"/>
      <c r="Y42" s="1"/>
      <c r="Z42" s="1"/>
      <c r="AA42" s="1">
        <v>10</v>
      </c>
      <c r="AB42" s="1">
        <v>2</v>
      </c>
      <c r="AC42" s="1">
        <v>2</v>
      </c>
      <c r="AD42" s="1">
        <v>3</v>
      </c>
      <c r="AE42" s="1">
        <v>1</v>
      </c>
      <c r="AF42" s="1">
        <v>1</v>
      </c>
      <c r="AG42" s="1">
        <v>1</v>
      </c>
      <c r="AH42" s="1"/>
      <c r="AI42" s="1"/>
      <c r="AJ42" s="1"/>
      <c r="AK42" s="1">
        <v>10</v>
      </c>
      <c r="AL42" s="1">
        <v>3</v>
      </c>
      <c r="AM42" s="1"/>
      <c r="AN42" s="9">
        <v>33</v>
      </c>
      <c r="AO42" s="1"/>
      <c r="AP42" s="1">
        <v>8</v>
      </c>
      <c r="AQ42" s="1"/>
      <c r="AR42" s="1">
        <v>3</v>
      </c>
      <c r="AS42" s="1">
        <v>1</v>
      </c>
      <c r="AT42" s="1">
        <v>18</v>
      </c>
      <c r="AU42" s="1">
        <v>3</v>
      </c>
      <c r="AV42" s="1"/>
      <c r="AW42" s="1">
        <v>1</v>
      </c>
      <c r="AX42" s="1">
        <v>1</v>
      </c>
      <c r="AY42" s="1"/>
      <c r="AZ42" s="1"/>
      <c r="BA42" s="1"/>
      <c r="BB42" s="1">
        <v>1</v>
      </c>
      <c r="BC42" s="1"/>
      <c r="BD42" s="1"/>
      <c r="BE42" s="1">
        <v>1</v>
      </c>
      <c r="BF42" s="1"/>
      <c r="BG42" s="9">
        <v>37</v>
      </c>
      <c r="BH42" s="1"/>
      <c r="BI42" s="1">
        <v>16</v>
      </c>
      <c r="BJ42" s="1"/>
      <c r="BK42" s="1"/>
      <c r="BL42" s="1">
        <v>1</v>
      </c>
      <c r="BM42" s="1">
        <v>1</v>
      </c>
      <c r="BN42" s="1">
        <v>1</v>
      </c>
      <c r="BO42" s="1"/>
      <c r="BP42" s="1"/>
      <c r="BQ42" s="1"/>
      <c r="BR42" s="1"/>
      <c r="BS42" s="1"/>
      <c r="BT42" s="1"/>
      <c r="BU42" s="1">
        <v>4</v>
      </c>
      <c r="BV42" s="1"/>
      <c r="BW42" s="1"/>
      <c r="BX42" s="1">
        <v>3</v>
      </c>
      <c r="BY42" s="1">
        <v>1</v>
      </c>
      <c r="BZ42" s="9">
        <v>27</v>
      </c>
      <c r="CA42" s="1"/>
      <c r="CB42" s="1">
        <v>13</v>
      </c>
      <c r="CC42" s="1"/>
      <c r="CD42" s="1"/>
      <c r="CE42" s="1">
        <v>5</v>
      </c>
      <c r="CF42" s="1"/>
      <c r="CG42" s="1"/>
      <c r="CH42" s="1">
        <v>1</v>
      </c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9">
        <v>19</v>
      </c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9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9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9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9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9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9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9"/>
      <c r="HW42" s="1"/>
      <c r="HX42" s="1">
        <v>58</v>
      </c>
      <c r="HY42" s="1">
        <v>16</v>
      </c>
      <c r="HZ42" s="1">
        <v>32</v>
      </c>
      <c r="IA42" s="1">
        <v>11</v>
      </c>
      <c r="IB42" s="1">
        <v>40</v>
      </c>
      <c r="IC42" s="1">
        <v>7</v>
      </c>
      <c r="ID42" s="1">
        <v>10</v>
      </c>
      <c r="IE42" s="1">
        <v>4</v>
      </c>
      <c r="IF42" s="1">
        <v>43</v>
      </c>
      <c r="IG42" s="1">
        <v>7</v>
      </c>
      <c r="IH42" s="1">
        <v>17</v>
      </c>
      <c r="II42" s="1">
        <v>67</v>
      </c>
      <c r="IJ42" s="1">
        <v>15</v>
      </c>
      <c r="IK42" s="1">
        <v>18</v>
      </c>
      <c r="IL42" s="1">
        <v>1</v>
      </c>
      <c r="IM42" s="1">
        <v>2</v>
      </c>
      <c r="IN42" s="1">
        <v>31</v>
      </c>
      <c r="IO42" s="1">
        <v>379</v>
      </c>
    </row>
    <row r="43" spans="1:249" x14ac:dyDescent="0.4">
      <c r="A43" t="s">
        <v>43</v>
      </c>
      <c r="B43" t="s">
        <v>17</v>
      </c>
      <c r="C43" s="1"/>
      <c r="D43" s="1">
        <v>3</v>
      </c>
      <c r="E43" s="1">
        <v>1</v>
      </c>
      <c r="F43" s="1">
        <v>1</v>
      </c>
      <c r="G43" s="1"/>
      <c r="H43" s="1"/>
      <c r="I43" s="1">
        <v>3</v>
      </c>
      <c r="J43" s="1">
        <v>2</v>
      </c>
      <c r="K43" s="1">
        <v>1</v>
      </c>
      <c r="L43" s="1">
        <v>17</v>
      </c>
      <c r="M43" s="1">
        <v>4</v>
      </c>
      <c r="N43" s="1"/>
      <c r="O43" s="1">
        <v>3</v>
      </c>
      <c r="P43" s="1">
        <v>1</v>
      </c>
      <c r="Q43" s="1">
        <v>1</v>
      </c>
      <c r="R43" s="1">
        <v>1</v>
      </c>
      <c r="S43" s="1"/>
      <c r="T43" s="1"/>
      <c r="U43" s="9">
        <v>38</v>
      </c>
      <c r="V43" s="1"/>
      <c r="W43" s="1"/>
      <c r="X43" s="1"/>
      <c r="Y43" s="1">
        <v>2</v>
      </c>
      <c r="Z43" s="1"/>
      <c r="AA43" s="1"/>
      <c r="AB43" s="1">
        <v>1</v>
      </c>
      <c r="AC43" s="1"/>
      <c r="AD43" s="1">
        <v>1</v>
      </c>
      <c r="AE43" s="1"/>
      <c r="AF43" s="1"/>
      <c r="AG43" s="1"/>
      <c r="AH43" s="1"/>
      <c r="AI43" s="1"/>
      <c r="AJ43" s="1"/>
      <c r="AK43" s="1"/>
      <c r="AL43" s="1"/>
      <c r="AM43" s="1">
        <v>1</v>
      </c>
      <c r="AN43" s="9">
        <v>5</v>
      </c>
      <c r="AO43" s="1"/>
      <c r="AP43" s="1"/>
      <c r="AQ43" s="1"/>
      <c r="AR43" s="1"/>
      <c r="AS43" s="1"/>
      <c r="AT43" s="1"/>
      <c r="AU43" s="1">
        <v>2</v>
      </c>
      <c r="AV43" s="1"/>
      <c r="AW43" s="1">
        <v>1</v>
      </c>
      <c r="AX43" s="1"/>
      <c r="AY43" s="1">
        <v>1</v>
      </c>
      <c r="AZ43" s="1"/>
      <c r="BA43" s="1"/>
      <c r="BB43" s="1"/>
      <c r="BC43" s="1">
        <v>6</v>
      </c>
      <c r="BD43" s="1"/>
      <c r="BE43" s="1"/>
      <c r="BF43" s="1">
        <v>2</v>
      </c>
      <c r="BG43" s="9">
        <v>12</v>
      </c>
      <c r="BH43" s="1"/>
      <c r="BI43" s="1"/>
      <c r="BJ43" s="1">
        <v>3</v>
      </c>
      <c r="BK43" s="1"/>
      <c r="BL43" s="1"/>
      <c r="BM43" s="1"/>
      <c r="BN43" s="1">
        <v>2</v>
      </c>
      <c r="BO43" s="1"/>
      <c r="BP43" s="1"/>
      <c r="BQ43" s="1"/>
      <c r="BR43" s="1"/>
      <c r="BS43" s="1"/>
      <c r="BT43" s="1">
        <v>2</v>
      </c>
      <c r="BU43" s="1">
        <v>1</v>
      </c>
      <c r="BV43" s="1"/>
      <c r="BW43" s="1"/>
      <c r="BX43" s="1"/>
      <c r="BY43" s="1"/>
      <c r="BZ43" s="9">
        <v>8</v>
      </c>
      <c r="CA43" s="1"/>
      <c r="CB43" s="1"/>
      <c r="CC43" s="1">
        <v>2</v>
      </c>
      <c r="CD43" s="1">
        <v>2</v>
      </c>
      <c r="CE43" s="1"/>
      <c r="CF43" s="1"/>
      <c r="CG43" s="1"/>
      <c r="CH43" s="1"/>
      <c r="CI43" s="1"/>
      <c r="CJ43" s="1">
        <v>3</v>
      </c>
      <c r="CK43" s="1"/>
      <c r="CL43" s="1"/>
      <c r="CM43" s="1"/>
      <c r="CN43" s="1"/>
      <c r="CO43" s="1">
        <v>5</v>
      </c>
      <c r="CP43" s="1">
        <v>2</v>
      </c>
      <c r="CQ43" s="1"/>
      <c r="CR43" s="1"/>
      <c r="CS43" s="9">
        <v>14</v>
      </c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9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9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9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9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9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9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9"/>
      <c r="HW43" s="1"/>
      <c r="HX43" s="1">
        <v>4</v>
      </c>
      <c r="HY43" s="1">
        <v>5</v>
      </c>
      <c r="HZ43" s="1">
        <v>3</v>
      </c>
      <c r="IA43" s="1">
        <v>4</v>
      </c>
      <c r="IB43" s="1">
        <v>3</v>
      </c>
      <c r="IC43" s="1">
        <v>4</v>
      </c>
      <c r="ID43" s="1">
        <v>1</v>
      </c>
      <c r="IE43" s="1">
        <v>6</v>
      </c>
      <c r="IF43" s="1">
        <v>55</v>
      </c>
      <c r="IG43" s="1">
        <v>12</v>
      </c>
      <c r="IH43" s="1">
        <v>4</v>
      </c>
      <c r="II43" s="1">
        <v>8</v>
      </c>
      <c r="IJ43" s="1">
        <v>1</v>
      </c>
      <c r="IK43" s="1">
        <v>13</v>
      </c>
      <c r="IL43" s="1">
        <v>3</v>
      </c>
      <c r="IM43" s="1">
        <v>1</v>
      </c>
      <c r="IN43" s="1">
        <v>4</v>
      </c>
      <c r="IO43" s="1">
        <v>131</v>
      </c>
    </row>
    <row r="44" spans="1:249" x14ac:dyDescent="0.4">
      <c r="A44" t="s">
        <v>43</v>
      </c>
      <c r="B44" t="s">
        <v>25</v>
      </c>
      <c r="C44" s="1"/>
      <c r="D44" s="1"/>
      <c r="E44" s="1">
        <v>6</v>
      </c>
      <c r="F44" s="1"/>
      <c r="G44" s="1"/>
      <c r="H44" s="1"/>
      <c r="I44" s="1">
        <v>1</v>
      </c>
      <c r="J44" s="1">
        <v>29</v>
      </c>
      <c r="K44" s="1">
        <v>25</v>
      </c>
      <c r="L44" s="1">
        <v>2</v>
      </c>
      <c r="M44" s="1">
        <v>34</v>
      </c>
      <c r="N44" s="1">
        <v>3</v>
      </c>
      <c r="O44" s="1">
        <v>18</v>
      </c>
      <c r="P44" s="1"/>
      <c r="Q44" s="1">
        <v>41</v>
      </c>
      <c r="R44" s="1">
        <v>2</v>
      </c>
      <c r="S44" s="1">
        <v>4</v>
      </c>
      <c r="T44" s="1">
        <v>1</v>
      </c>
      <c r="U44" s="9">
        <v>166</v>
      </c>
      <c r="V44" s="1"/>
      <c r="W44" s="1"/>
      <c r="X44" s="1"/>
      <c r="Y44" s="1"/>
      <c r="Z44" s="1"/>
      <c r="AA44" s="1"/>
      <c r="AB44" s="1">
        <v>1</v>
      </c>
      <c r="AC44" s="1"/>
      <c r="AD44" s="1">
        <v>1</v>
      </c>
      <c r="AE44" s="1">
        <v>1</v>
      </c>
      <c r="AF44" s="1">
        <v>1</v>
      </c>
      <c r="AG44" s="1">
        <v>10</v>
      </c>
      <c r="AH44" s="1"/>
      <c r="AI44" s="1"/>
      <c r="AJ44" s="1">
        <v>1</v>
      </c>
      <c r="AK44" s="1"/>
      <c r="AL44" s="1">
        <v>4</v>
      </c>
      <c r="AM44" s="1">
        <v>17</v>
      </c>
      <c r="AN44" s="9">
        <v>36</v>
      </c>
      <c r="AO44" s="1"/>
      <c r="AP44" s="1"/>
      <c r="AQ44" s="1">
        <v>54</v>
      </c>
      <c r="AR44" s="1"/>
      <c r="AS44" s="1">
        <v>6</v>
      </c>
      <c r="AT44" s="1"/>
      <c r="AU44" s="1">
        <v>15</v>
      </c>
      <c r="AV44" s="1"/>
      <c r="AW44" s="1">
        <v>8</v>
      </c>
      <c r="AX44" s="1">
        <v>5</v>
      </c>
      <c r="AY44" s="1"/>
      <c r="AZ44" s="1">
        <v>7</v>
      </c>
      <c r="BA44" s="1">
        <v>2</v>
      </c>
      <c r="BB44" s="1"/>
      <c r="BC44" s="1">
        <v>3</v>
      </c>
      <c r="BD44" s="1">
        <v>1</v>
      </c>
      <c r="BE44" s="1"/>
      <c r="BF44" s="1">
        <v>3</v>
      </c>
      <c r="BG44" s="9">
        <v>104</v>
      </c>
      <c r="BH44" s="1"/>
      <c r="BI44" s="1">
        <v>20</v>
      </c>
      <c r="BJ44" s="1">
        <v>39</v>
      </c>
      <c r="BK44" s="1">
        <v>42</v>
      </c>
      <c r="BL44" s="1"/>
      <c r="BM44" s="1"/>
      <c r="BN44" s="1">
        <v>2</v>
      </c>
      <c r="BO44" s="1"/>
      <c r="BP44" s="1">
        <v>2</v>
      </c>
      <c r="BQ44" s="1">
        <v>15</v>
      </c>
      <c r="BR44" s="1">
        <v>1</v>
      </c>
      <c r="BS44" s="1">
        <v>2</v>
      </c>
      <c r="BT44" s="1">
        <v>54</v>
      </c>
      <c r="BU44" s="1">
        <v>12</v>
      </c>
      <c r="BV44" s="1">
        <v>20</v>
      </c>
      <c r="BW44" s="1"/>
      <c r="BX44" s="1">
        <v>1</v>
      </c>
      <c r="BY44" s="1">
        <v>22</v>
      </c>
      <c r="BZ44" s="9">
        <v>232</v>
      </c>
      <c r="CA44" s="1"/>
      <c r="CB44" s="1">
        <v>2</v>
      </c>
      <c r="CC44" s="1">
        <v>13</v>
      </c>
      <c r="CD44" s="1">
        <v>6</v>
      </c>
      <c r="CE44" s="1">
        <v>8</v>
      </c>
      <c r="CF44" s="1"/>
      <c r="CG44" s="1">
        <v>13</v>
      </c>
      <c r="CH44" s="1">
        <v>48</v>
      </c>
      <c r="CI44" s="1">
        <v>26</v>
      </c>
      <c r="CJ44" s="1">
        <v>1</v>
      </c>
      <c r="CK44" s="1">
        <v>11</v>
      </c>
      <c r="CL44" s="1">
        <v>3</v>
      </c>
      <c r="CM44" s="1">
        <v>5</v>
      </c>
      <c r="CN44" s="1">
        <v>16</v>
      </c>
      <c r="CO44" s="1">
        <v>13</v>
      </c>
      <c r="CP44" s="1">
        <v>3</v>
      </c>
      <c r="CQ44" s="1">
        <v>1</v>
      </c>
      <c r="CR44" s="1">
        <v>12</v>
      </c>
      <c r="CS44" s="9">
        <v>181</v>
      </c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9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9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9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9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9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9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9"/>
      <c r="HW44" s="1"/>
      <c r="HX44" s="1">
        <v>17</v>
      </c>
      <c r="HY44" s="1">
        <v>60</v>
      </c>
      <c r="HZ44" s="1">
        <v>91</v>
      </c>
      <c r="IA44" s="1">
        <v>159</v>
      </c>
      <c r="IB44" s="1">
        <v>9</v>
      </c>
      <c r="IC44" s="1">
        <v>223</v>
      </c>
      <c r="ID44" s="1">
        <v>87</v>
      </c>
      <c r="IE44" s="1">
        <v>100</v>
      </c>
      <c r="IF44" s="1">
        <v>52</v>
      </c>
      <c r="IG44" s="1">
        <v>18</v>
      </c>
      <c r="IH44" s="1">
        <v>36</v>
      </c>
      <c r="II44" s="1">
        <v>169</v>
      </c>
      <c r="IJ44" s="1">
        <v>25</v>
      </c>
      <c r="IK44" s="1">
        <v>149</v>
      </c>
      <c r="IL44" s="1">
        <v>32</v>
      </c>
      <c r="IM44" s="1">
        <v>8</v>
      </c>
      <c r="IN44" s="1">
        <v>68</v>
      </c>
      <c r="IO44" s="1">
        <v>1303</v>
      </c>
    </row>
    <row r="45" spans="1:249" s="6" customFormat="1" x14ac:dyDescent="0.4">
      <c r="A45" s="6" t="s">
        <v>48</v>
      </c>
      <c r="B45" s="6" t="s">
        <v>34</v>
      </c>
      <c r="C45" s="7">
        <v>1303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9">
        <f>C45</f>
        <v>1303</v>
      </c>
      <c r="V45" s="7">
        <v>685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9">
        <f>V45</f>
        <v>685</v>
      </c>
      <c r="AO45" s="7">
        <v>1046</v>
      </c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9">
        <f>+AO45</f>
        <v>1046</v>
      </c>
      <c r="BH45" s="7">
        <v>701</v>
      </c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9">
        <f>BH45</f>
        <v>701</v>
      </c>
      <c r="CA45" s="7">
        <v>788</v>
      </c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9">
        <f>CA45</f>
        <v>788</v>
      </c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9">
        <f>CT45</f>
        <v>0</v>
      </c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9">
        <f>DM45</f>
        <v>0</v>
      </c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9">
        <f>EF45</f>
        <v>0</v>
      </c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9">
        <f>EY45</f>
        <v>0</v>
      </c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9">
        <f>FR45</f>
        <v>0</v>
      </c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9">
        <f>GK45</f>
        <v>0</v>
      </c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9">
        <f>HD45</f>
        <v>0</v>
      </c>
      <c r="HW45" s="7">
        <v>9278</v>
      </c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>
        <f>HW45</f>
        <v>9278</v>
      </c>
    </row>
    <row r="46" spans="1:249" x14ac:dyDescent="0.4">
      <c r="A46" t="s">
        <v>48</v>
      </c>
      <c r="B46" t="s">
        <v>36</v>
      </c>
      <c r="C46" s="1">
        <v>4575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9">
        <f t="shared" ref="U46:U53" si="0">C46</f>
        <v>4575</v>
      </c>
      <c r="V46" s="1">
        <v>2423</v>
      </c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9">
        <f t="shared" ref="AN46:AN53" si="1">V46</f>
        <v>2423</v>
      </c>
      <c r="AO46" s="1">
        <v>3724</v>
      </c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9">
        <f t="shared" ref="BG46:BG53" si="2">+AO46</f>
        <v>3724</v>
      </c>
      <c r="BH46" s="1">
        <v>3563</v>
      </c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9">
        <f t="shared" ref="BZ46:BZ53" si="3">BH46</f>
        <v>3563</v>
      </c>
      <c r="CA46" s="1">
        <v>3408</v>
      </c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9">
        <f t="shared" ref="CS46:CS53" si="4">CA46</f>
        <v>3408</v>
      </c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9">
        <f t="shared" ref="DL46:DL53" si="5">CT46</f>
        <v>0</v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9">
        <f t="shared" ref="EE46:EE53" si="6">DM46</f>
        <v>0</v>
      </c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9">
        <f t="shared" ref="EX46:EX53" si="7">EF46</f>
        <v>0</v>
      </c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9">
        <f t="shared" ref="FQ46:FQ53" si="8">EY46</f>
        <v>0</v>
      </c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9">
        <f t="shared" ref="GJ46:GJ53" si="9">FR46</f>
        <v>0</v>
      </c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9">
        <f t="shared" ref="HC46:HC53" si="10">GK46</f>
        <v>0</v>
      </c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9">
        <f t="shared" ref="HV46:HV53" si="11">HD46</f>
        <v>0</v>
      </c>
      <c r="HW46" s="1">
        <v>39459</v>
      </c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>
        <f t="shared" ref="IO46:IO53" si="12">HW46</f>
        <v>39459</v>
      </c>
    </row>
    <row r="47" spans="1:249" s="6" customFormat="1" x14ac:dyDescent="0.4">
      <c r="A47" s="6" t="s">
        <v>48</v>
      </c>
      <c r="B47" s="6" t="s">
        <v>20</v>
      </c>
      <c r="C47" s="7">
        <v>46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9">
        <f t="shared" si="0"/>
        <v>46</v>
      </c>
      <c r="V47" s="7">
        <v>20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9">
        <f t="shared" si="1"/>
        <v>20</v>
      </c>
      <c r="AO47" s="7">
        <v>25</v>
      </c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9">
        <f t="shared" si="2"/>
        <v>25</v>
      </c>
      <c r="BH47" s="7">
        <v>20</v>
      </c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9">
        <f t="shared" si="3"/>
        <v>20</v>
      </c>
      <c r="CA47" s="7">
        <v>24</v>
      </c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9">
        <f t="shared" si="4"/>
        <v>24</v>
      </c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9">
        <f t="shared" si="5"/>
        <v>0</v>
      </c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9">
        <f t="shared" si="6"/>
        <v>0</v>
      </c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9">
        <f t="shared" si="7"/>
        <v>0</v>
      </c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9">
        <f t="shared" si="8"/>
        <v>0</v>
      </c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9">
        <f t="shared" si="9"/>
        <v>0</v>
      </c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9">
        <f t="shared" si="10"/>
        <v>0</v>
      </c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9">
        <f t="shared" si="11"/>
        <v>0</v>
      </c>
      <c r="HW47" s="7">
        <v>323</v>
      </c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>
        <f t="shared" si="12"/>
        <v>323</v>
      </c>
    </row>
    <row r="48" spans="1:249" x14ac:dyDescent="0.4">
      <c r="A48" t="s">
        <v>48</v>
      </c>
      <c r="B48" t="s">
        <v>29</v>
      </c>
      <c r="C48" s="1">
        <v>123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9">
        <f t="shared" si="0"/>
        <v>123</v>
      </c>
      <c r="V48" s="1">
        <v>87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9">
        <f t="shared" si="1"/>
        <v>87</v>
      </c>
      <c r="AO48" s="1">
        <v>172</v>
      </c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9">
        <f t="shared" si="2"/>
        <v>172</v>
      </c>
      <c r="BH48" s="1">
        <v>200</v>
      </c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9">
        <f t="shared" si="3"/>
        <v>200</v>
      </c>
      <c r="CA48" s="1">
        <v>95</v>
      </c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9">
        <f t="shared" si="4"/>
        <v>95</v>
      </c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9">
        <f t="shared" si="5"/>
        <v>0</v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9">
        <f t="shared" si="6"/>
        <v>0</v>
      </c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9">
        <f t="shared" si="7"/>
        <v>0</v>
      </c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9">
        <f t="shared" si="8"/>
        <v>0</v>
      </c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9">
        <f t="shared" si="9"/>
        <v>0</v>
      </c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9">
        <f t="shared" si="10"/>
        <v>0</v>
      </c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9">
        <f t="shared" si="11"/>
        <v>0</v>
      </c>
      <c r="HW48" s="1">
        <v>2219</v>
      </c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>
        <f t="shared" si="12"/>
        <v>2219</v>
      </c>
    </row>
    <row r="49" spans="1:249" s="6" customFormat="1" x14ac:dyDescent="0.4">
      <c r="A49" s="6" t="s">
        <v>48</v>
      </c>
      <c r="B49" s="6" t="s">
        <v>15</v>
      </c>
      <c r="C49" s="7">
        <v>12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9">
        <f t="shared" si="0"/>
        <v>12</v>
      </c>
      <c r="V49" s="7">
        <v>12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9">
        <f t="shared" si="1"/>
        <v>12</v>
      </c>
      <c r="AO49" s="7">
        <v>6</v>
      </c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9">
        <f t="shared" si="2"/>
        <v>6</v>
      </c>
      <c r="BH49" s="7">
        <v>6</v>
      </c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9">
        <f t="shared" si="3"/>
        <v>6</v>
      </c>
      <c r="CA49" s="7">
        <v>8</v>
      </c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9">
        <f t="shared" si="4"/>
        <v>8</v>
      </c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9">
        <f t="shared" si="5"/>
        <v>0</v>
      </c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9">
        <f t="shared" si="6"/>
        <v>0</v>
      </c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9">
        <f t="shared" si="7"/>
        <v>0</v>
      </c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9">
        <f t="shared" si="8"/>
        <v>0</v>
      </c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9">
        <f t="shared" si="9"/>
        <v>0</v>
      </c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9">
        <f t="shared" si="10"/>
        <v>0</v>
      </c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9">
        <f t="shared" si="11"/>
        <v>0</v>
      </c>
      <c r="HW49" s="7">
        <v>200</v>
      </c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>
        <f t="shared" si="12"/>
        <v>200</v>
      </c>
    </row>
    <row r="50" spans="1:249" x14ac:dyDescent="0.4">
      <c r="A50" t="s">
        <v>48</v>
      </c>
      <c r="B50" t="s">
        <v>23</v>
      </c>
      <c r="C50" s="1">
        <v>243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9">
        <f t="shared" si="0"/>
        <v>243</v>
      </c>
      <c r="V50" s="1">
        <v>148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9">
        <f t="shared" si="1"/>
        <v>148</v>
      </c>
      <c r="AO50" s="1">
        <v>261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9">
        <f t="shared" si="2"/>
        <v>261</v>
      </c>
      <c r="BH50" s="1">
        <v>334</v>
      </c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9">
        <f t="shared" si="3"/>
        <v>334</v>
      </c>
      <c r="CA50" s="1">
        <v>104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9">
        <f t="shared" si="4"/>
        <v>104</v>
      </c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9">
        <f t="shared" si="5"/>
        <v>0</v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9">
        <f t="shared" si="6"/>
        <v>0</v>
      </c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9">
        <f t="shared" si="7"/>
        <v>0</v>
      </c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9">
        <f t="shared" si="8"/>
        <v>0</v>
      </c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9">
        <f t="shared" si="9"/>
        <v>0</v>
      </c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9">
        <f t="shared" si="10"/>
        <v>0</v>
      </c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9">
        <f t="shared" si="11"/>
        <v>0</v>
      </c>
      <c r="HW50" s="1">
        <v>3304</v>
      </c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>
        <f t="shared" si="12"/>
        <v>3304</v>
      </c>
    </row>
    <row r="51" spans="1:249" s="6" customFormat="1" x14ac:dyDescent="0.4">
      <c r="A51" s="6" t="s">
        <v>48</v>
      </c>
      <c r="B51" s="6" t="s">
        <v>30</v>
      </c>
      <c r="C51" s="7">
        <v>3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9">
        <f>C51</f>
        <v>3</v>
      </c>
      <c r="V51" s="7">
        <v>12</v>
      </c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9">
        <f>V51</f>
        <v>12</v>
      </c>
      <c r="AO51" s="7">
        <v>14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9">
        <f t="shared" si="2"/>
        <v>14</v>
      </c>
      <c r="BH51" s="7">
        <v>40</v>
      </c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9">
        <f>BH51</f>
        <v>40</v>
      </c>
      <c r="CA51" s="7">
        <v>20</v>
      </c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9">
        <f>CA51</f>
        <v>20</v>
      </c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9">
        <f>CT51</f>
        <v>0</v>
      </c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9">
        <f>DM51</f>
        <v>0</v>
      </c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9">
        <f>EF51</f>
        <v>0</v>
      </c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9">
        <f>EY51</f>
        <v>0</v>
      </c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9">
        <f>FR51</f>
        <v>0</v>
      </c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9">
        <f>GK51</f>
        <v>0</v>
      </c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9">
        <f>HD51</f>
        <v>0</v>
      </c>
      <c r="HW51" s="7">
        <v>678</v>
      </c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>
        <f>HW51</f>
        <v>678</v>
      </c>
    </row>
    <row r="52" spans="1:249" s="6" customFormat="1" x14ac:dyDescent="0.4">
      <c r="A52" s="6" t="s">
        <v>48</v>
      </c>
      <c r="B52" s="6" t="s">
        <v>18</v>
      </c>
      <c r="C52" s="7">
        <v>8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9">
        <f t="shared" si="0"/>
        <v>8</v>
      </c>
      <c r="V52" s="7">
        <v>9</v>
      </c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9">
        <f t="shared" si="1"/>
        <v>9</v>
      </c>
      <c r="AO52" s="7">
        <v>4</v>
      </c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9">
        <f t="shared" si="2"/>
        <v>4</v>
      </c>
      <c r="BH52" s="7">
        <v>2</v>
      </c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9">
        <f t="shared" si="3"/>
        <v>2</v>
      </c>
      <c r="CA52" s="7">
        <v>2</v>
      </c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9">
        <f t="shared" si="4"/>
        <v>2</v>
      </c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9">
        <f t="shared" si="5"/>
        <v>0</v>
      </c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9">
        <f t="shared" si="6"/>
        <v>0</v>
      </c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9">
        <f t="shared" si="7"/>
        <v>0</v>
      </c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9">
        <f t="shared" si="8"/>
        <v>0</v>
      </c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9">
        <f t="shared" si="9"/>
        <v>0</v>
      </c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9">
        <f t="shared" si="10"/>
        <v>0</v>
      </c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9">
        <f t="shared" si="11"/>
        <v>0</v>
      </c>
      <c r="HW52" s="7">
        <v>61</v>
      </c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>
        <f t="shared" si="12"/>
        <v>61</v>
      </c>
    </row>
    <row r="53" spans="1:249" x14ac:dyDescent="0.4">
      <c r="A53" t="s">
        <v>48</v>
      </c>
      <c r="B53" t="s">
        <v>26</v>
      </c>
      <c r="C53" s="1">
        <v>123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9">
        <f t="shared" si="0"/>
        <v>123</v>
      </c>
      <c r="V53" s="1">
        <v>229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9">
        <f t="shared" si="1"/>
        <v>229</v>
      </c>
      <c r="AO53" s="1">
        <v>181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9">
        <f t="shared" si="2"/>
        <v>181</v>
      </c>
      <c r="BH53" s="1">
        <v>48</v>
      </c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9">
        <f t="shared" si="3"/>
        <v>48</v>
      </c>
      <c r="CA53" s="1">
        <v>73</v>
      </c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9">
        <f t="shared" si="4"/>
        <v>73</v>
      </c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9">
        <f t="shared" si="5"/>
        <v>0</v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9">
        <f t="shared" si="6"/>
        <v>0</v>
      </c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9">
        <f t="shared" si="7"/>
        <v>0</v>
      </c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9">
        <f t="shared" si="8"/>
        <v>0</v>
      </c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9">
        <f t="shared" si="9"/>
        <v>0</v>
      </c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9">
        <f t="shared" si="10"/>
        <v>0</v>
      </c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9">
        <f t="shared" si="11"/>
        <v>0</v>
      </c>
      <c r="HW53" s="1">
        <v>656</v>
      </c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>
        <f t="shared" si="12"/>
        <v>656</v>
      </c>
    </row>
    <row r="54" spans="1:249" x14ac:dyDescent="0.4">
      <c r="B54" t="s">
        <v>41</v>
      </c>
      <c r="C54">
        <v>37221</v>
      </c>
      <c r="U54" s="9">
        <v>37221</v>
      </c>
      <c r="V54" s="1">
        <f>+U15</f>
        <v>37176</v>
      </c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9">
        <f>U15</f>
        <v>37176</v>
      </c>
      <c r="AO54" s="1">
        <f t="shared" ref="AO54:CZ54" si="13">V15</f>
        <v>37303</v>
      </c>
      <c r="AP54" s="1">
        <f t="shared" si="13"/>
        <v>0</v>
      </c>
      <c r="AQ54" s="1">
        <f t="shared" si="13"/>
        <v>0</v>
      </c>
      <c r="AR54" s="1">
        <f t="shared" si="13"/>
        <v>0</v>
      </c>
      <c r="AS54" s="1">
        <f t="shared" si="13"/>
        <v>0</v>
      </c>
      <c r="AT54" s="1">
        <f t="shared" si="13"/>
        <v>0</v>
      </c>
      <c r="AU54" s="1">
        <f t="shared" si="13"/>
        <v>0</v>
      </c>
      <c r="AV54" s="1">
        <f t="shared" si="13"/>
        <v>0</v>
      </c>
      <c r="AW54" s="1">
        <f t="shared" si="13"/>
        <v>0</v>
      </c>
      <c r="AX54" s="1">
        <f t="shared" si="13"/>
        <v>0</v>
      </c>
      <c r="AY54" s="1">
        <f t="shared" si="13"/>
        <v>0</v>
      </c>
      <c r="AZ54" s="1">
        <f t="shared" si="13"/>
        <v>0</v>
      </c>
      <c r="BA54" s="1">
        <f t="shared" si="13"/>
        <v>0</v>
      </c>
      <c r="BB54" s="1">
        <f t="shared" si="13"/>
        <v>0</v>
      </c>
      <c r="BC54" s="1">
        <f t="shared" si="13"/>
        <v>0</v>
      </c>
      <c r="BD54" s="1">
        <f t="shared" si="13"/>
        <v>0</v>
      </c>
      <c r="BE54" s="1">
        <f t="shared" si="13"/>
        <v>0</v>
      </c>
      <c r="BF54" s="1">
        <f t="shared" si="13"/>
        <v>0</v>
      </c>
      <c r="BG54" s="9">
        <f t="shared" si="13"/>
        <v>37303</v>
      </c>
      <c r="BH54" s="1">
        <f t="shared" si="13"/>
        <v>37348</v>
      </c>
      <c r="BI54" s="1">
        <f t="shared" si="13"/>
        <v>0</v>
      </c>
      <c r="BJ54" s="1">
        <f t="shared" si="13"/>
        <v>0</v>
      </c>
      <c r="BK54" s="1">
        <f t="shared" si="13"/>
        <v>0</v>
      </c>
      <c r="BL54" s="1">
        <f t="shared" si="13"/>
        <v>0</v>
      </c>
      <c r="BM54" s="1">
        <f t="shared" si="13"/>
        <v>0</v>
      </c>
      <c r="BN54" s="1">
        <f t="shared" si="13"/>
        <v>0</v>
      </c>
      <c r="BO54" s="1">
        <f t="shared" si="13"/>
        <v>0</v>
      </c>
      <c r="BP54" s="1">
        <f t="shared" si="13"/>
        <v>0</v>
      </c>
      <c r="BQ54" s="1">
        <f t="shared" si="13"/>
        <v>0</v>
      </c>
      <c r="BR54" s="1">
        <f t="shared" si="13"/>
        <v>0</v>
      </c>
      <c r="BS54" s="1">
        <f t="shared" si="13"/>
        <v>0</v>
      </c>
      <c r="BT54" s="1">
        <f t="shared" si="13"/>
        <v>0</v>
      </c>
      <c r="BU54" s="1">
        <f t="shared" si="13"/>
        <v>0</v>
      </c>
      <c r="BV54" s="1">
        <f t="shared" si="13"/>
        <v>0</v>
      </c>
      <c r="BW54" s="1">
        <f t="shared" si="13"/>
        <v>0</v>
      </c>
      <c r="BX54" s="1">
        <f t="shared" si="13"/>
        <v>0</v>
      </c>
      <c r="BY54" s="1">
        <f t="shared" si="13"/>
        <v>0</v>
      </c>
      <c r="BZ54" s="9">
        <f t="shared" si="13"/>
        <v>37348</v>
      </c>
      <c r="CA54" s="1">
        <f t="shared" si="13"/>
        <v>37252</v>
      </c>
      <c r="CB54" s="1">
        <f t="shared" si="13"/>
        <v>0</v>
      </c>
      <c r="CC54" s="1">
        <f t="shared" si="13"/>
        <v>0</v>
      </c>
      <c r="CD54" s="1">
        <f t="shared" si="13"/>
        <v>0</v>
      </c>
      <c r="CE54" s="1">
        <f t="shared" si="13"/>
        <v>0</v>
      </c>
      <c r="CF54" s="1">
        <f t="shared" si="13"/>
        <v>0</v>
      </c>
      <c r="CG54" s="1">
        <f t="shared" si="13"/>
        <v>0</v>
      </c>
      <c r="CH54" s="1">
        <f t="shared" si="13"/>
        <v>0</v>
      </c>
      <c r="CI54" s="1">
        <f t="shared" si="13"/>
        <v>0</v>
      </c>
      <c r="CJ54" s="1">
        <f t="shared" si="13"/>
        <v>0</v>
      </c>
      <c r="CK54" s="1">
        <f t="shared" si="13"/>
        <v>0</v>
      </c>
      <c r="CL54" s="1">
        <f t="shared" si="13"/>
        <v>0</v>
      </c>
      <c r="CM54" s="1">
        <f t="shared" si="13"/>
        <v>0</v>
      </c>
      <c r="CN54" s="1">
        <f t="shared" si="13"/>
        <v>0</v>
      </c>
      <c r="CO54" s="1">
        <f t="shared" si="13"/>
        <v>0</v>
      </c>
      <c r="CP54" s="1">
        <f t="shared" si="13"/>
        <v>0</v>
      </c>
      <c r="CQ54" s="1">
        <f t="shared" si="13"/>
        <v>0</v>
      </c>
      <c r="CR54" s="1">
        <f t="shared" si="13"/>
        <v>0</v>
      </c>
      <c r="CS54" s="9">
        <f t="shared" si="13"/>
        <v>37252</v>
      </c>
      <c r="CT54" s="1">
        <f t="shared" si="13"/>
        <v>37202</v>
      </c>
      <c r="CU54" s="1">
        <f t="shared" si="13"/>
        <v>0</v>
      </c>
      <c r="CV54" s="1">
        <f t="shared" si="13"/>
        <v>0</v>
      </c>
      <c r="CW54" s="1">
        <f t="shared" si="13"/>
        <v>0</v>
      </c>
      <c r="CX54" s="1">
        <f t="shared" si="13"/>
        <v>0</v>
      </c>
      <c r="CY54" s="1">
        <f t="shared" si="13"/>
        <v>0</v>
      </c>
      <c r="CZ54" s="1">
        <f t="shared" si="13"/>
        <v>0</v>
      </c>
      <c r="DA54" s="1">
        <f t="shared" ref="DA54:FL54" si="14">CH15</f>
        <v>0</v>
      </c>
      <c r="DB54" s="1">
        <f t="shared" si="14"/>
        <v>0</v>
      </c>
      <c r="DC54" s="1">
        <f t="shared" si="14"/>
        <v>0</v>
      </c>
      <c r="DD54" s="1">
        <f t="shared" si="14"/>
        <v>0</v>
      </c>
      <c r="DE54" s="1">
        <f t="shared" si="14"/>
        <v>0</v>
      </c>
      <c r="DF54" s="1">
        <f t="shared" si="14"/>
        <v>0</v>
      </c>
      <c r="DG54" s="1">
        <f t="shared" si="14"/>
        <v>0</v>
      </c>
      <c r="DH54" s="1">
        <f t="shared" si="14"/>
        <v>0</v>
      </c>
      <c r="DI54" s="1">
        <f t="shared" si="14"/>
        <v>0</v>
      </c>
      <c r="DJ54" s="1">
        <f t="shared" si="14"/>
        <v>0</v>
      </c>
      <c r="DK54" s="1">
        <f t="shared" si="14"/>
        <v>0</v>
      </c>
      <c r="DL54" s="9">
        <f t="shared" si="14"/>
        <v>37202</v>
      </c>
      <c r="DM54" s="1">
        <f t="shared" si="14"/>
        <v>0</v>
      </c>
      <c r="DN54" s="1">
        <f t="shared" si="14"/>
        <v>0</v>
      </c>
      <c r="DO54" s="1">
        <f t="shared" si="14"/>
        <v>0</v>
      </c>
      <c r="DP54" s="1">
        <f t="shared" si="14"/>
        <v>0</v>
      </c>
      <c r="DQ54" s="1">
        <f t="shared" si="14"/>
        <v>0</v>
      </c>
      <c r="DR54" s="1">
        <f t="shared" si="14"/>
        <v>0</v>
      </c>
      <c r="DS54" s="1">
        <f t="shared" si="14"/>
        <v>0</v>
      </c>
      <c r="DT54" s="1">
        <f t="shared" si="14"/>
        <v>0</v>
      </c>
      <c r="DU54" s="1">
        <f t="shared" si="14"/>
        <v>0</v>
      </c>
      <c r="DV54" s="1">
        <f t="shared" si="14"/>
        <v>0</v>
      </c>
      <c r="DW54" s="1">
        <f t="shared" si="14"/>
        <v>0</v>
      </c>
      <c r="DX54" s="1">
        <f t="shared" si="14"/>
        <v>0</v>
      </c>
      <c r="DY54" s="1">
        <f t="shared" si="14"/>
        <v>0</v>
      </c>
      <c r="DZ54" s="1">
        <f t="shared" si="14"/>
        <v>0</v>
      </c>
      <c r="EA54" s="1">
        <f t="shared" si="14"/>
        <v>0</v>
      </c>
      <c r="EB54" s="1">
        <f t="shared" si="14"/>
        <v>0</v>
      </c>
      <c r="EC54" s="1">
        <f t="shared" si="14"/>
        <v>0</v>
      </c>
      <c r="ED54" s="1">
        <f t="shared" si="14"/>
        <v>0</v>
      </c>
      <c r="EE54" s="9">
        <f t="shared" si="14"/>
        <v>0</v>
      </c>
      <c r="EF54" s="1">
        <f t="shared" si="14"/>
        <v>0</v>
      </c>
      <c r="EG54" s="1">
        <f t="shared" si="14"/>
        <v>0</v>
      </c>
      <c r="EH54" s="1">
        <f t="shared" si="14"/>
        <v>0</v>
      </c>
      <c r="EI54" s="1">
        <f t="shared" si="14"/>
        <v>0</v>
      </c>
      <c r="EJ54" s="1">
        <f t="shared" si="14"/>
        <v>0</v>
      </c>
      <c r="EK54" s="1">
        <f t="shared" si="14"/>
        <v>0</v>
      </c>
      <c r="EL54" s="1">
        <f t="shared" si="14"/>
        <v>0</v>
      </c>
      <c r="EM54" s="1">
        <f t="shared" si="14"/>
        <v>0</v>
      </c>
      <c r="EN54" s="1">
        <f t="shared" si="14"/>
        <v>0</v>
      </c>
      <c r="EO54" s="1">
        <f t="shared" si="14"/>
        <v>0</v>
      </c>
      <c r="EP54" s="1">
        <f t="shared" si="14"/>
        <v>0</v>
      </c>
      <c r="EQ54" s="1">
        <f t="shared" si="14"/>
        <v>0</v>
      </c>
      <c r="ER54" s="1">
        <f t="shared" si="14"/>
        <v>0</v>
      </c>
      <c r="ES54" s="1">
        <f t="shared" si="14"/>
        <v>0</v>
      </c>
      <c r="ET54" s="1">
        <f t="shared" si="14"/>
        <v>0</v>
      </c>
      <c r="EU54" s="1">
        <f t="shared" si="14"/>
        <v>0</v>
      </c>
      <c r="EV54" s="1">
        <f t="shared" si="14"/>
        <v>0</v>
      </c>
      <c r="EW54" s="1">
        <f t="shared" si="14"/>
        <v>0</v>
      </c>
      <c r="EX54" s="9">
        <f t="shared" si="14"/>
        <v>0</v>
      </c>
      <c r="EY54" s="1">
        <f t="shared" si="14"/>
        <v>0</v>
      </c>
      <c r="EZ54" s="1">
        <f t="shared" si="14"/>
        <v>0</v>
      </c>
      <c r="FA54" s="1">
        <f t="shared" si="14"/>
        <v>0</v>
      </c>
      <c r="FB54" s="1">
        <f t="shared" si="14"/>
        <v>0</v>
      </c>
      <c r="FC54" s="1">
        <f t="shared" si="14"/>
        <v>0</v>
      </c>
      <c r="FD54" s="1">
        <f t="shared" si="14"/>
        <v>0</v>
      </c>
      <c r="FE54" s="1">
        <f t="shared" si="14"/>
        <v>0</v>
      </c>
      <c r="FF54" s="1">
        <f t="shared" si="14"/>
        <v>0</v>
      </c>
      <c r="FG54" s="1">
        <f t="shared" si="14"/>
        <v>0</v>
      </c>
      <c r="FH54" s="1">
        <f t="shared" si="14"/>
        <v>0</v>
      </c>
      <c r="FI54" s="1">
        <f t="shared" si="14"/>
        <v>0</v>
      </c>
      <c r="FJ54" s="1">
        <f t="shared" si="14"/>
        <v>0</v>
      </c>
      <c r="FK54" s="1">
        <f t="shared" si="14"/>
        <v>0</v>
      </c>
      <c r="FL54" s="1">
        <f t="shared" si="14"/>
        <v>0</v>
      </c>
      <c r="FM54" s="1">
        <f t="shared" ref="FM54:HV54" si="15">ET15</f>
        <v>0</v>
      </c>
      <c r="FN54" s="1">
        <f t="shared" si="15"/>
        <v>0</v>
      </c>
      <c r="FO54" s="1">
        <f t="shared" si="15"/>
        <v>0</v>
      </c>
      <c r="FP54" s="1">
        <f t="shared" si="15"/>
        <v>0</v>
      </c>
      <c r="FQ54" s="9">
        <f t="shared" si="15"/>
        <v>0</v>
      </c>
      <c r="FR54" s="1">
        <f t="shared" si="15"/>
        <v>0</v>
      </c>
      <c r="FS54" s="1">
        <f t="shared" si="15"/>
        <v>0</v>
      </c>
      <c r="FT54" s="1">
        <f t="shared" si="15"/>
        <v>0</v>
      </c>
      <c r="FU54" s="1">
        <f t="shared" si="15"/>
        <v>0</v>
      </c>
      <c r="FV54" s="1">
        <f t="shared" si="15"/>
        <v>0</v>
      </c>
      <c r="FW54" s="1">
        <f t="shared" si="15"/>
        <v>0</v>
      </c>
      <c r="FX54" s="1">
        <f t="shared" si="15"/>
        <v>0</v>
      </c>
      <c r="FY54" s="1">
        <f t="shared" si="15"/>
        <v>0</v>
      </c>
      <c r="FZ54" s="1">
        <f t="shared" si="15"/>
        <v>0</v>
      </c>
      <c r="GA54" s="1">
        <f t="shared" si="15"/>
        <v>0</v>
      </c>
      <c r="GB54" s="1">
        <f t="shared" si="15"/>
        <v>0</v>
      </c>
      <c r="GC54" s="1">
        <f t="shared" si="15"/>
        <v>0</v>
      </c>
      <c r="GD54" s="1">
        <f t="shared" si="15"/>
        <v>0</v>
      </c>
      <c r="GE54" s="1">
        <f t="shared" si="15"/>
        <v>0</v>
      </c>
      <c r="GF54" s="1">
        <f t="shared" si="15"/>
        <v>0</v>
      </c>
      <c r="GG54" s="1">
        <f t="shared" si="15"/>
        <v>0</v>
      </c>
      <c r="GH54" s="1">
        <f t="shared" si="15"/>
        <v>0</v>
      </c>
      <c r="GI54" s="1">
        <f t="shared" si="15"/>
        <v>0</v>
      </c>
      <c r="GJ54" s="9">
        <f t="shared" si="15"/>
        <v>0</v>
      </c>
      <c r="GK54" s="1">
        <f t="shared" si="15"/>
        <v>0</v>
      </c>
      <c r="GL54" s="1">
        <f t="shared" si="15"/>
        <v>0</v>
      </c>
      <c r="GM54" s="1">
        <f t="shared" si="15"/>
        <v>0</v>
      </c>
      <c r="GN54" s="1">
        <f t="shared" si="15"/>
        <v>0</v>
      </c>
      <c r="GO54" s="1">
        <f t="shared" si="15"/>
        <v>0</v>
      </c>
      <c r="GP54" s="1">
        <f t="shared" si="15"/>
        <v>0</v>
      </c>
      <c r="GQ54" s="1">
        <f t="shared" si="15"/>
        <v>0</v>
      </c>
      <c r="GR54" s="1">
        <f t="shared" si="15"/>
        <v>0</v>
      </c>
      <c r="GS54" s="1">
        <f t="shared" si="15"/>
        <v>0</v>
      </c>
      <c r="GT54" s="1">
        <f t="shared" si="15"/>
        <v>0</v>
      </c>
      <c r="GU54" s="1">
        <f t="shared" si="15"/>
        <v>0</v>
      </c>
      <c r="GV54" s="1">
        <f t="shared" si="15"/>
        <v>0</v>
      </c>
      <c r="GW54" s="1">
        <f t="shared" si="15"/>
        <v>0</v>
      </c>
      <c r="GX54" s="1">
        <f t="shared" si="15"/>
        <v>0</v>
      </c>
      <c r="GY54" s="1">
        <f t="shared" si="15"/>
        <v>0</v>
      </c>
      <c r="GZ54" s="1">
        <f t="shared" si="15"/>
        <v>0</v>
      </c>
      <c r="HA54" s="1">
        <f t="shared" si="15"/>
        <v>0</v>
      </c>
      <c r="HB54" s="1">
        <f t="shared" si="15"/>
        <v>0</v>
      </c>
      <c r="HC54" s="9">
        <f t="shared" si="15"/>
        <v>0</v>
      </c>
      <c r="HD54" s="1">
        <f t="shared" si="15"/>
        <v>0</v>
      </c>
      <c r="HE54" s="1">
        <f t="shared" si="15"/>
        <v>0</v>
      </c>
      <c r="HF54" s="1">
        <f t="shared" si="15"/>
        <v>0</v>
      </c>
      <c r="HG54" s="1">
        <f t="shared" si="15"/>
        <v>0</v>
      </c>
      <c r="HH54" s="1">
        <f t="shared" si="15"/>
        <v>0</v>
      </c>
      <c r="HI54" s="1">
        <f t="shared" si="15"/>
        <v>0</v>
      </c>
      <c r="HJ54" s="1">
        <f t="shared" si="15"/>
        <v>0</v>
      </c>
      <c r="HK54" s="1">
        <f t="shared" si="15"/>
        <v>0</v>
      </c>
      <c r="HL54" s="1">
        <f t="shared" si="15"/>
        <v>0</v>
      </c>
      <c r="HM54" s="1">
        <f t="shared" si="15"/>
        <v>0</v>
      </c>
      <c r="HN54" s="1">
        <f t="shared" si="15"/>
        <v>0</v>
      </c>
      <c r="HO54" s="1">
        <f t="shared" si="15"/>
        <v>0</v>
      </c>
      <c r="HP54" s="1">
        <f t="shared" si="15"/>
        <v>0</v>
      </c>
      <c r="HQ54" s="1">
        <f t="shared" si="15"/>
        <v>0</v>
      </c>
      <c r="HR54" s="1">
        <f t="shared" si="15"/>
        <v>0</v>
      </c>
      <c r="HS54" s="1">
        <f t="shared" si="15"/>
        <v>0</v>
      </c>
      <c r="HT54" s="1">
        <f t="shared" si="15"/>
        <v>0</v>
      </c>
      <c r="HU54" s="1">
        <f t="shared" si="15"/>
        <v>0</v>
      </c>
      <c r="HV54" s="9">
        <f t="shared" si="15"/>
        <v>0</v>
      </c>
      <c r="HW54" s="1">
        <v>36438</v>
      </c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>
        <v>36438</v>
      </c>
    </row>
    <row r="55" spans="1:249" x14ac:dyDescent="0.4">
      <c r="B55" t="s">
        <v>40</v>
      </c>
      <c r="C55">
        <v>8259</v>
      </c>
      <c r="U55" s="9">
        <v>8259</v>
      </c>
      <c r="V55" s="1">
        <f>+U16</f>
        <v>8214</v>
      </c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9">
        <f>U16</f>
        <v>8214</v>
      </c>
      <c r="AO55" s="1">
        <f t="shared" ref="AO55:CZ55" si="16">V16</f>
        <v>8272</v>
      </c>
      <c r="AP55" s="1">
        <f t="shared" si="16"/>
        <v>0</v>
      </c>
      <c r="AQ55" s="1">
        <f t="shared" si="16"/>
        <v>0</v>
      </c>
      <c r="AR55" s="1">
        <f t="shared" si="16"/>
        <v>0</v>
      </c>
      <c r="AS55" s="1">
        <f t="shared" si="16"/>
        <v>0</v>
      </c>
      <c r="AT55" s="1">
        <f t="shared" si="16"/>
        <v>0</v>
      </c>
      <c r="AU55" s="1">
        <f t="shared" si="16"/>
        <v>0</v>
      </c>
      <c r="AV55" s="1">
        <f t="shared" si="16"/>
        <v>0</v>
      </c>
      <c r="AW55" s="1">
        <f t="shared" si="16"/>
        <v>0</v>
      </c>
      <c r="AX55" s="1">
        <f t="shared" si="16"/>
        <v>0</v>
      </c>
      <c r="AY55" s="1">
        <f t="shared" si="16"/>
        <v>0</v>
      </c>
      <c r="AZ55" s="1">
        <f t="shared" si="16"/>
        <v>0</v>
      </c>
      <c r="BA55" s="1">
        <f t="shared" si="16"/>
        <v>0</v>
      </c>
      <c r="BB55" s="1">
        <f t="shared" si="16"/>
        <v>0</v>
      </c>
      <c r="BC55" s="1">
        <f t="shared" si="16"/>
        <v>0</v>
      </c>
      <c r="BD55" s="1">
        <f t="shared" si="16"/>
        <v>0</v>
      </c>
      <c r="BE55" s="1">
        <f t="shared" si="16"/>
        <v>0</v>
      </c>
      <c r="BF55" s="1">
        <f t="shared" si="16"/>
        <v>0</v>
      </c>
      <c r="BG55" s="9">
        <f t="shared" si="16"/>
        <v>8272</v>
      </c>
      <c r="BH55" s="1">
        <f t="shared" si="16"/>
        <v>8257</v>
      </c>
      <c r="BI55" s="1">
        <f t="shared" si="16"/>
        <v>0</v>
      </c>
      <c r="BJ55" s="1">
        <f t="shared" si="16"/>
        <v>0</v>
      </c>
      <c r="BK55" s="1">
        <f t="shared" si="16"/>
        <v>0</v>
      </c>
      <c r="BL55" s="1">
        <f t="shared" si="16"/>
        <v>0</v>
      </c>
      <c r="BM55" s="1">
        <f t="shared" si="16"/>
        <v>0</v>
      </c>
      <c r="BN55" s="1">
        <f t="shared" si="16"/>
        <v>0</v>
      </c>
      <c r="BO55" s="1">
        <f t="shared" si="16"/>
        <v>0</v>
      </c>
      <c r="BP55" s="1">
        <f t="shared" si="16"/>
        <v>0</v>
      </c>
      <c r="BQ55" s="1">
        <f t="shared" si="16"/>
        <v>0</v>
      </c>
      <c r="BR55" s="1">
        <f t="shared" si="16"/>
        <v>0</v>
      </c>
      <c r="BS55" s="1">
        <f t="shared" si="16"/>
        <v>0</v>
      </c>
      <c r="BT55" s="1">
        <f t="shared" si="16"/>
        <v>0</v>
      </c>
      <c r="BU55" s="1">
        <f t="shared" si="16"/>
        <v>0</v>
      </c>
      <c r="BV55" s="1">
        <f t="shared" si="16"/>
        <v>0</v>
      </c>
      <c r="BW55" s="1">
        <f t="shared" si="16"/>
        <v>0</v>
      </c>
      <c r="BX55" s="1">
        <f t="shared" si="16"/>
        <v>0</v>
      </c>
      <c r="BY55" s="1">
        <f t="shared" si="16"/>
        <v>0</v>
      </c>
      <c r="BZ55" s="9">
        <f t="shared" si="16"/>
        <v>8257</v>
      </c>
      <c r="CA55" s="1">
        <f t="shared" si="16"/>
        <v>8233</v>
      </c>
      <c r="CB55" s="1">
        <f t="shared" si="16"/>
        <v>0</v>
      </c>
      <c r="CC55" s="1">
        <f t="shared" si="16"/>
        <v>0</v>
      </c>
      <c r="CD55" s="1">
        <f t="shared" si="16"/>
        <v>0</v>
      </c>
      <c r="CE55" s="1">
        <f t="shared" si="16"/>
        <v>0</v>
      </c>
      <c r="CF55" s="1">
        <f t="shared" si="16"/>
        <v>0</v>
      </c>
      <c r="CG55" s="1">
        <f t="shared" si="16"/>
        <v>0</v>
      </c>
      <c r="CH55" s="1">
        <f t="shared" si="16"/>
        <v>0</v>
      </c>
      <c r="CI55" s="1">
        <f t="shared" si="16"/>
        <v>0</v>
      </c>
      <c r="CJ55" s="1">
        <f t="shared" si="16"/>
        <v>0</v>
      </c>
      <c r="CK55" s="1">
        <f t="shared" si="16"/>
        <v>0</v>
      </c>
      <c r="CL55" s="1">
        <f t="shared" si="16"/>
        <v>0</v>
      </c>
      <c r="CM55" s="1">
        <f t="shared" si="16"/>
        <v>0</v>
      </c>
      <c r="CN55" s="1">
        <f t="shared" si="16"/>
        <v>0</v>
      </c>
      <c r="CO55" s="1">
        <f t="shared" si="16"/>
        <v>0</v>
      </c>
      <c r="CP55" s="1">
        <f t="shared" si="16"/>
        <v>0</v>
      </c>
      <c r="CQ55" s="1">
        <f t="shared" si="16"/>
        <v>0</v>
      </c>
      <c r="CR55" s="1">
        <f t="shared" si="16"/>
        <v>0</v>
      </c>
      <c r="CS55" s="9">
        <f t="shared" si="16"/>
        <v>8233</v>
      </c>
      <c r="CT55" s="1">
        <f t="shared" si="16"/>
        <v>8254</v>
      </c>
      <c r="CU55" s="1">
        <f t="shared" si="16"/>
        <v>0</v>
      </c>
      <c r="CV55" s="1">
        <f t="shared" si="16"/>
        <v>0</v>
      </c>
      <c r="CW55" s="1">
        <f t="shared" si="16"/>
        <v>0</v>
      </c>
      <c r="CX55" s="1">
        <f t="shared" si="16"/>
        <v>0</v>
      </c>
      <c r="CY55" s="1">
        <f t="shared" si="16"/>
        <v>0</v>
      </c>
      <c r="CZ55" s="1">
        <f t="shared" si="16"/>
        <v>0</v>
      </c>
      <c r="DA55" s="1">
        <f t="shared" ref="DA55:FL55" si="17">CH16</f>
        <v>0</v>
      </c>
      <c r="DB55" s="1">
        <f t="shared" si="17"/>
        <v>0</v>
      </c>
      <c r="DC55" s="1">
        <f t="shared" si="17"/>
        <v>0</v>
      </c>
      <c r="DD55" s="1">
        <f t="shared" si="17"/>
        <v>0</v>
      </c>
      <c r="DE55" s="1">
        <f t="shared" si="17"/>
        <v>0</v>
      </c>
      <c r="DF55" s="1">
        <f t="shared" si="17"/>
        <v>0</v>
      </c>
      <c r="DG55" s="1">
        <f t="shared" si="17"/>
        <v>0</v>
      </c>
      <c r="DH55" s="1">
        <f t="shared" si="17"/>
        <v>0</v>
      </c>
      <c r="DI55" s="1">
        <f t="shared" si="17"/>
        <v>0</v>
      </c>
      <c r="DJ55" s="1">
        <f t="shared" si="17"/>
        <v>0</v>
      </c>
      <c r="DK55" s="1">
        <f t="shared" si="17"/>
        <v>0</v>
      </c>
      <c r="DL55" s="9">
        <f t="shared" si="17"/>
        <v>8254</v>
      </c>
      <c r="DM55" s="1">
        <f t="shared" si="17"/>
        <v>0</v>
      </c>
      <c r="DN55" s="1">
        <f t="shared" si="17"/>
        <v>0</v>
      </c>
      <c r="DO55" s="1">
        <f t="shared" si="17"/>
        <v>0</v>
      </c>
      <c r="DP55" s="1">
        <f t="shared" si="17"/>
        <v>0</v>
      </c>
      <c r="DQ55" s="1">
        <f t="shared" si="17"/>
        <v>0</v>
      </c>
      <c r="DR55" s="1">
        <f t="shared" si="17"/>
        <v>0</v>
      </c>
      <c r="DS55" s="1">
        <f t="shared" si="17"/>
        <v>0</v>
      </c>
      <c r="DT55" s="1">
        <f t="shared" si="17"/>
        <v>0</v>
      </c>
      <c r="DU55" s="1">
        <f t="shared" si="17"/>
        <v>0</v>
      </c>
      <c r="DV55" s="1">
        <f t="shared" si="17"/>
        <v>0</v>
      </c>
      <c r="DW55" s="1">
        <f t="shared" si="17"/>
        <v>0</v>
      </c>
      <c r="DX55" s="1">
        <f t="shared" si="17"/>
        <v>0</v>
      </c>
      <c r="DY55" s="1">
        <f t="shared" si="17"/>
        <v>0</v>
      </c>
      <c r="DZ55" s="1">
        <f t="shared" si="17"/>
        <v>0</v>
      </c>
      <c r="EA55" s="1">
        <f t="shared" si="17"/>
        <v>0</v>
      </c>
      <c r="EB55" s="1">
        <f t="shared" si="17"/>
        <v>0</v>
      </c>
      <c r="EC55" s="1">
        <f t="shared" si="17"/>
        <v>0</v>
      </c>
      <c r="ED55" s="1">
        <f t="shared" si="17"/>
        <v>0</v>
      </c>
      <c r="EE55" s="9">
        <f t="shared" si="17"/>
        <v>0</v>
      </c>
      <c r="EF55" s="1">
        <f t="shared" si="17"/>
        <v>0</v>
      </c>
      <c r="EG55" s="1">
        <f t="shared" si="17"/>
        <v>0</v>
      </c>
      <c r="EH55" s="1">
        <f t="shared" si="17"/>
        <v>0</v>
      </c>
      <c r="EI55" s="1">
        <f t="shared" si="17"/>
        <v>0</v>
      </c>
      <c r="EJ55" s="1">
        <f t="shared" si="17"/>
        <v>0</v>
      </c>
      <c r="EK55" s="1">
        <f t="shared" si="17"/>
        <v>0</v>
      </c>
      <c r="EL55" s="1">
        <f t="shared" si="17"/>
        <v>0</v>
      </c>
      <c r="EM55" s="1">
        <f t="shared" si="17"/>
        <v>0</v>
      </c>
      <c r="EN55" s="1">
        <f t="shared" si="17"/>
        <v>0</v>
      </c>
      <c r="EO55" s="1">
        <f t="shared" si="17"/>
        <v>0</v>
      </c>
      <c r="EP55" s="1">
        <f t="shared" si="17"/>
        <v>0</v>
      </c>
      <c r="EQ55" s="1">
        <f t="shared" si="17"/>
        <v>0</v>
      </c>
      <c r="ER55" s="1">
        <f t="shared" si="17"/>
        <v>0</v>
      </c>
      <c r="ES55" s="1">
        <f t="shared" si="17"/>
        <v>0</v>
      </c>
      <c r="ET55" s="1">
        <f t="shared" si="17"/>
        <v>0</v>
      </c>
      <c r="EU55" s="1">
        <f t="shared" si="17"/>
        <v>0</v>
      </c>
      <c r="EV55" s="1">
        <f t="shared" si="17"/>
        <v>0</v>
      </c>
      <c r="EW55" s="1">
        <f t="shared" si="17"/>
        <v>0</v>
      </c>
      <c r="EX55" s="9">
        <f t="shared" si="17"/>
        <v>0</v>
      </c>
      <c r="EY55" s="1">
        <f t="shared" si="17"/>
        <v>0</v>
      </c>
      <c r="EZ55" s="1">
        <f t="shared" si="17"/>
        <v>0</v>
      </c>
      <c r="FA55" s="1">
        <f t="shared" si="17"/>
        <v>0</v>
      </c>
      <c r="FB55" s="1">
        <f t="shared" si="17"/>
        <v>0</v>
      </c>
      <c r="FC55" s="1">
        <f t="shared" si="17"/>
        <v>0</v>
      </c>
      <c r="FD55" s="1">
        <f t="shared" si="17"/>
        <v>0</v>
      </c>
      <c r="FE55" s="1">
        <f t="shared" si="17"/>
        <v>0</v>
      </c>
      <c r="FF55" s="1">
        <f t="shared" si="17"/>
        <v>0</v>
      </c>
      <c r="FG55" s="1">
        <f t="shared" si="17"/>
        <v>0</v>
      </c>
      <c r="FH55" s="1">
        <f t="shared" si="17"/>
        <v>0</v>
      </c>
      <c r="FI55" s="1">
        <f t="shared" si="17"/>
        <v>0</v>
      </c>
      <c r="FJ55" s="1">
        <f t="shared" si="17"/>
        <v>0</v>
      </c>
      <c r="FK55" s="1">
        <f t="shared" si="17"/>
        <v>0</v>
      </c>
      <c r="FL55" s="1">
        <f t="shared" si="17"/>
        <v>0</v>
      </c>
      <c r="FM55" s="1">
        <f t="shared" ref="FM55:HV55" si="18">ET16</f>
        <v>0</v>
      </c>
      <c r="FN55" s="1">
        <f t="shared" si="18"/>
        <v>0</v>
      </c>
      <c r="FO55" s="1">
        <f t="shared" si="18"/>
        <v>0</v>
      </c>
      <c r="FP55" s="1">
        <f t="shared" si="18"/>
        <v>0</v>
      </c>
      <c r="FQ55" s="9">
        <f t="shared" si="18"/>
        <v>0</v>
      </c>
      <c r="FR55" s="1">
        <f t="shared" si="18"/>
        <v>0</v>
      </c>
      <c r="FS55" s="1">
        <f t="shared" si="18"/>
        <v>0</v>
      </c>
      <c r="FT55" s="1">
        <f t="shared" si="18"/>
        <v>0</v>
      </c>
      <c r="FU55" s="1">
        <f t="shared" si="18"/>
        <v>0</v>
      </c>
      <c r="FV55" s="1">
        <f t="shared" si="18"/>
        <v>0</v>
      </c>
      <c r="FW55" s="1">
        <f t="shared" si="18"/>
        <v>0</v>
      </c>
      <c r="FX55" s="1">
        <f t="shared" si="18"/>
        <v>0</v>
      </c>
      <c r="FY55" s="1">
        <f t="shared" si="18"/>
        <v>0</v>
      </c>
      <c r="FZ55" s="1">
        <f t="shared" si="18"/>
        <v>0</v>
      </c>
      <c r="GA55" s="1">
        <f t="shared" si="18"/>
        <v>0</v>
      </c>
      <c r="GB55" s="1">
        <f t="shared" si="18"/>
        <v>0</v>
      </c>
      <c r="GC55" s="1">
        <f t="shared" si="18"/>
        <v>0</v>
      </c>
      <c r="GD55" s="1">
        <f t="shared" si="18"/>
        <v>0</v>
      </c>
      <c r="GE55" s="1">
        <f t="shared" si="18"/>
        <v>0</v>
      </c>
      <c r="GF55" s="1">
        <f t="shared" si="18"/>
        <v>0</v>
      </c>
      <c r="GG55" s="1">
        <f t="shared" si="18"/>
        <v>0</v>
      </c>
      <c r="GH55" s="1">
        <f t="shared" si="18"/>
        <v>0</v>
      </c>
      <c r="GI55" s="1">
        <f t="shared" si="18"/>
        <v>0</v>
      </c>
      <c r="GJ55" s="9">
        <f t="shared" si="18"/>
        <v>0</v>
      </c>
      <c r="GK55" s="1">
        <f t="shared" si="18"/>
        <v>0</v>
      </c>
      <c r="GL55" s="1">
        <f t="shared" si="18"/>
        <v>0</v>
      </c>
      <c r="GM55" s="1">
        <f t="shared" si="18"/>
        <v>0</v>
      </c>
      <c r="GN55" s="1">
        <f t="shared" si="18"/>
        <v>0</v>
      </c>
      <c r="GO55" s="1">
        <f t="shared" si="18"/>
        <v>0</v>
      </c>
      <c r="GP55" s="1">
        <f t="shared" si="18"/>
        <v>0</v>
      </c>
      <c r="GQ55" s="1">
        <f t="shared" si="18"/>
        <v>0</v>
      </c>
      <c r="GR55" s="1">
        <f t="shared" si="18"/>
        <v>0</v>
      </c>
      <c r="GS55" s="1">
        <f t="shared" si="18"/>
        <v>0</v>
      </c>
      <c r="GT55" s="1">
        <f t="shared" si="18"/>
        <v>0</v>
      </c>
      <c r="GU55" s="1">
        <f t="shared" si="18"/>
        <v>0</v>
      </c>
      <c r="GV55" s="1">
        <f t="shared" si="18"/>
        <v>0</v>
      </c>
      <c r="GW55" s="1">
        <f t="shared" si="18"/>
        <v>0</v>
      </c>
      <c r="GX55" s="1">
        <f t="shared" si="18"/>
        <v>0</v>
      </c>
      <c r="GY55" s="1">
        <f t="shared" si="18"/>
        <v>0</v>
      </c>
      <c r="GZ55" s="1">
        <f t="shared" si="18"/>
        <v>0</v>
      </c>
      <c r="HA55" s="1">
        <f t="shared" si="18"/>
        <v>0</v>
      </c>
      <c r="HB55" s="1">
        <f t="shared" si="18"/>
        <v>0</v>
      </c>
      <c r="HC55" s="9">
        <f t="shared" si="18"/>
        <v>0</v>
      </c>
      <c r="HD55" s="1">
        <f t="shared" si="18"/>
        <v>0</v>
      </c>
      <c r="HE55" s="1">
        <f t="shared" si="18"/>
        <v>0</v>
      </c>
      <c r="HF55" s="1">
        <f t="shared" si="18"/>
        <v>0</v>
      </c>
      <c r="HG55" s="1">
        <f t="shared" si="18"/>
        <v>0</v>
      </c>
      <c r="HH55" s="1">
        <f t="shared" si="18"/>
        <v>0</v>
      </c>
      <c r="HI55" s="1">
        <f t="shared" si="18"/>
        <v>0</v>
      </c>
      <c r="HJ55" s="1">
        <f t="shared" si="18"/>
        <v>0</v>
      </c>
      <c r="HK55" s="1">
        <f t="shared" si="18"/>
        <v>0</v>
      </c>
      <c r="HL55" s="1">
        <f t="shared" si="18"/>
        <v>0</v>
      </c>
      <c r="HM55" s="1">
        <f t="shared" si="18"/>
        <v>0</v>
      </c>
      <c r="HN55" s="1">
        <f t="shared" si="18"/>
        <v>0</v>
      </c>
      <c r="HO55" s="1">
        <f t="shared" si="18"/>
        <v>0</v>
      </c>
      <c r="HP55" s="1">
        <f t="shared" si="18"/>
        <v>0</v>
      </c>
      <c r="HQ55" s="1">
        <f t="shared" si="18"/>
        <v>0</v>
      </c>
      <c r="HR55" s="1">
        <f t="shared" si="18"/>
        <v>0</v>
      </c>
      <c r="HS55" s="1">
        <f t="shared" si="18"/>
        <v>0</v>
      </c>
      <c r="HT55" s="1">
        <f t="shared" si="18"/>
        <v>0</v>
      </c>
      <c r="HU55" s="1">
        <f t="shared" si="18"/>
        <v>0</v>
      </c>
      <c r="HV55" s="9">
        <f t="shared" si="18"/>
        <v>0</v>
      </c>
      <c r="HW55" s="1">
        <v>7758</v>
      </c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>
        <v>7758</v>
      </c>
    </row>
    <row r="56" spans="1:249" x14ac:dyDescent="0.4">
      <c r="B56" t="s">
        <v>88</v>
      </c>
      <c r="D56" s="1">
        <v>1722</v>
      </c>
      <c r="E56" s="1">
        <v>2371</v>
      </c>
      <c r="F56" s="1">
        <v>2771</v>
      </c>
      <c r="G56" s="1">
        <v>2660</v>
      </c>
      <c r="H56" s="1">
        <v>3988</v>
      </c>
      <c r="I56" s="1">
        <v>1245</v>
      </c>
      <c r="J56" s="1">
        <v>2732</v>
      </c>
      <c r="K56" s="1">
        <v>3003</v>
      </c>
      <c r="L56" s="1">
        <v>3679</v>
      </c>
      <c r="M56" s="1">
        <v>2373</v>
      </c>
      <c r="N56" s="1">
        <v>2819</v>
      </c>
      <c r="O56" s="1">
        <v>2372</v>
      </c>
      <c r="P56" s="1">
        <v>1429</v>
      </c>
      <c r="Q56" s="1">
        <v>1435</v>
      </c>
      <c r="R56" s="1">
        <v>2174</v>
      </c>
      <c r="S56" s="1">
        <v>922</v>
      </c>
      <c r="T56" s="1">
        <v>1479</v>
      </c>
      <c r="U56" s="9">
        <v>39174</v>
      </c>
      <c r="V56" s="1"/>
      <c r="W56" s="1">
        <f>+D17</f>
        <v>1725</v>
      </c>
      <c r="X56" s="1">
        <f t="shared" ref="X56:AN59" si="19">+E17</f>
        <v>2359</v>
      </c>
      <c r="Y56" s="1">
        <f t="shared" si="19"/>
        <v>2815</v>
      </c>
      <c r="Z56" s="1">
        <f t="shared" si="19"/>
        <v>2742</v>
      </c>
      <c r="AA56" s="1">
        <f t="shared" si="19"/>
        <v>4074</v>
      </c>
      <c r="AB56" s="1">
        <f t="shared" si="19"/>
        <v>1294</v>
      </c>
      <c r="AC56" s="1">
        <f t="shared" si="19"/>
        <v>2722</v>
      </c>
      <c r="AD56" s="1">
        <f t="shared" si="19"/>
        <v>3009</v>
      </c>
      <c r="AE56" s="1">
        <f t="shared" si="19"/>
        <v>3748</v>
      </c>
      <c r="AF56" s="1">
        <f t="shared" si="19"/>
        <v>2468</v>
      </c>
      <c r="AG56" s="1">
        <f t="shared" si="19"/>
        <v>2834</v>
      </c>
      <c r="AH56" s="1">
        <f t="shared" si="19"/>
        <v>2412</v>
      </c>
      <c r="AI56" s="1">
        <f t="shared" si="19"/>
        <v>1438</v>
      </c>
      <c r="AJ56" s="1">
        <f t="shared" si="19"/>
        <v>1549</v>
      </c>
      <c r="AK56" s="1">
        <f t="shared" si="19"/>
        <v>2172</v>
      </c>
      <c r="AL56" s="1">
        <f t="shared" si="19"/>
        <v>911</v>
      </c>
      <c r="AM56" s="1">
        <f t="shared" si="19"/>
        <v>1495</v>
      </c>
      <c r="AN56" s="9">
        <f t="shared" si="19"/>
        <v>39767</v>
      </c>
      <c r="AO56" s="1">
        <f t="shared" ref="AO56:AX59" si="20">+V17</f>
        <v>0</v>
      </c>
      <c r="AP56" s="1">
        <f t="shared" si="20"/>
        <v>1729</v>
      </c>
      <c r="AQ56" s="1">
        <f t="shared" si="20"/>
        <v>2374</v>
      </c>
      <c r="AR56" s="1">
        <f t="shared" si="20"/>
        <v>2805</v>
      </c>
      <c r="AS56" s="1">
        <f t="shared" si="20"/>
        <v>2781</v>
      </c>
      <c r="AT56" s="1">
        <f t="shared" si="20"/>
        <v>4099</v>
      </c>
      <c r="AU56" s="1">
        <f t="shared" si="20"/>
        <v>1291</v>
      </c>
      <c r="AV56" s="1">
        <f t="shared" si="20"/>
        <v>2724</v>
      </c>
      <c r="AW56" s="1">
        <f t="shared" si="20"/>
        <v>3000</v>
      </c>
      <c r="AX56" s="1">
        <f t="shared" si="20"/>
        <v>3750</v>
      </c>
      <c r="AY56" s="1">
        <f t="shared" ref="AY56:BH59" si="21">+AF17</f>
        <v>2465</v>
      </c>
      <c r="AZ56" s="1">
        <f t="shared" si="21"/>
        <v>2843</v>
      </c>
      <c r="BA56" s="1">
        <f t="shared" si="21"/>
        <v>2416</v>
      </c>
      <c r="BB56" s="1">
        <f t="shared" si="21"/>
        <v>1439</v>
      </c>
      <c r="BC56" s="1">
        <f t="shared" si="21"/>
        <v>1587</v>
      </c>
      <c r="BD56" s="1">
        <f t="shared" si="21"/>
        <v>2190</v>
      </c>
      <c r="BE56" s="1">
        <f t="shared" si="21"/>
        <v>914</v>
      </c>
      <c r="BF56" s="1">
        <f t="shared" si="21"/>
        <v>1526</v>
      </c>
      <c r="BG56" s="9">
        <f t="shared" si="21"/>
        <v>39933</v>
      </c>
      <c r="BH56" s="1">
        <f t="shared" si="21"/>
        <v>0</v>
      </c>
      <c r="BI56" s="1">
        <f t="shared" ref="BI56:BR59" si="22">+AP17</f>
        <v>1825</v>
      </c>
      <c r="BJ56" s="1">
        <f t="shared" si="22"/>
        <v>2376</v>
      </c>
      <c r="BK56" s="1">
        <f t="shared" si="22"/>
        <v>2825</v>
      </c>
      <c r="BL56" s="1">
        <f t="shared" si="22"/>
        <v>2820</v>
      </c>
      <c r="BM56" s="1">
        <f t="shared" si="22"/>
        <v>4093</v>
      </c>
      <c r="BN56" s="1">
        <f t="shared" si="22"/>
        <v>1314</v>
      </c>
      <c r="BO56" s="1">
        <f t="shared" si="22"/>
        <v>2683</v>
      </c>
      <c r="BP56" s="1">
        <f t="shared" si="22"/>
        <v>2986</v>
      </c>
      <c r="BQ56" s="1">
        <f t="shared" si="22"/>
        <v>3743</v>
      </c>
      <c r="BR56" s="1">
        <f t="shared" si="22"/>
        <v>2521</v>
      </c>
      <c r="BS56" s="1">
        <f t="shared" ref="BS56:CB59" si="23">+AZ17</f>
        <v>2750</v>
      </c>
      <c r="BT56" s="1">
        <f t="shared" si="23"/>
        <v>2460</v>
      </c>
      <c r="BU56" s="1">
        <f t="shared" si="23"/>
        <v>1453</v>
      </c>
      <c r="BV56" s="1">
        <f t="shared" si="23"/>
        <v>1591</v>
      </c>
      <c r="BW56" s="1">
        <f t="shared" si="23"/>
        <v>2193</v>
      </c>
      <c r="BX56" s="1">
        <f t="shared" si="23"/>
        <v>943</v>
      </c>
      <c r="BY56" s="1">
        <f t="shared" si="23"/>
        <v>1532</v>
      </c>
      <c r="BZ56" s="9">
        <f t="shared" si="23"/>
        <v>40108</v>
      </c>
      <c r="CA56" s="1">
        <f t="shared" si="23"/>
        <v>0</v>
      </c>
      <c r="CB56" s="1">
        <f t="shared" si="23"/>
        <v>2018</v>
      </c>
      <c r="CC56" s="1">
        <f t="shared" ref="CC56:CL59" si="24">+BJ17</f>
        <v>2357</v>
      </c>
      <c r="CD56" s="1">
        <f t="shared" si="24"/>
        <v>2837</v>
      </c>
      <c r="CE56" s="1">
        <f t="shared" si="24"/>
        <v>2833</v>
      </c>
      <c r="CF56" s="1">
        <f t="shared" si="24"/>
        <v>4096</v>
      </c>
      <c r="CG56" s="1">
        <f t="shared" si="24"/>
        <v>1316</v>
      </c>
      <c r="CH56" s="1">
        <f t="shared" si="24"/>
        <v>2683</v>
      </c>
      <c r="CI56" s="1">
        <f t="shared" si="24"/>
        <v>2991</v>
      </c>
      <c r="CJ56" s="1">
        <f t="shared" si="24"/>
        <v>3738</v>
      </c>
      <c r="CK56" s="1">
        <f t="shared" si="24"/>
        <v>2587</v>
      </c>
      <c r="CL56" s="1">
        <f t="shared" si="24"/>
        <v>2808</v>
      </c>
      <c r="CM56" s="1">
        <f t="shared" ref="CM56:CV59" si="25">+BT17</f>
        <v>2472</v>
      </c>
      <c r="CN56" s="1">
        <f t="shared" si="25"/>
        <v>1463</v>
      </c>
      <c r="CO56" s="1">
        <f t="shared" si="25"/>
        <v>1472</v>
      </c>
      <c r="CP56" s="1">
        <f t="shared" si="25"/>
        <v>2191</v>
      </c>
      <c r="CQ56" s="1">
        <f t="shared" si="25"/>
        <v>947</v>
      </c>
      <c r="CR56" s="1">
        <f t="shared" si="25"/>
        <v>1551</v>
      </c>
      <c r="CS56" s="9">
        <f t="shared" si="25"/>
        <v>40360</v>
      </c>
      <c r="CT56" s="1">
        <f t="shared" si="25"/>
        <v>0</v>
      </c>
      <c r="CU56" s="1">
        <f t="shared" si="25"/>
        <v>1957</v>
      </c>
      <c r="CV56" s="1">
        <f t="shared" si="25"/>
        <v>2348</v>
      </c>
      <c r="CW56" s="1">
        <f t="shared" ref="CW56:DF59" si="26">+CD17</f>
        <v>2823</v>
      </c>
      <c r="CX56" s="1">
        <f t="shared" si="26"/>
        <v>2838</v>
      </c>
      <c r="CY56" s="1">
        <f t="shared" si="26"/>
        <v>4112</v>
      </c>
      <c r="CZ56" s="1">
        <f t="shared" si="26"/>
        <v>1309</v>
      </c>
      <c r="DA56" s="1">
        <f t="shared" si="26"/>
        <v>2677</v>
      </c>
      <c r="DB56" s="1">
        <f t="shared" si="26"/>
        <v>2990</v>
      </c>
      <c r="DC56" s="1">
        <f t="shared" si="26"/>
        <v>3692</v>
      </c>
      <c r="DD56" s="1">
        <f t="shared" si="26"/>
        <v>2634</v>
      </c>
      <c r="DE56" s="1">
        <f t="shared" si="26"/>
        <v>2810</v>
      </c>
      <c r="DF56" s="1">
        <f t="shared" si="26"/>
        <v>2445</v>
      </c>
      <c r="DG56" s="1">
        <f t="shared" ref="DG56:DP59" si="27">+CN17</f>
        <v>1470</v>
      </c>
      <c r="DH56" s="1">
        <f t="shared" si="27"/>
        <v>1494</v>
      </c>
      <c r="DI56" s="1">
        <f t="shared" si="27"/>
        <v>2188</v>
      </c>
      <c r="DJ56" s="1">
        <f t="shared" si="27"/>
        <v>936</v>
      </c>
      <c r="DK56" s="1">
        <f t="shared" si="27"/>
        <v>1615</v>
      </c>
      <c r="DL56" s="9">
        <f t="shared" si="27"/>
        <v>40338</v>
      </c>
      <c r="DM56" s="1">
        <f t="shared" si="27"/>
        <v>0</v>
      </c>
      <c r="DN56" s="1">
        <f t="shared" si="27"/>
        <v>0</v>
      </c>
      <c r="DO56" s="1">
        <f t="shared" si="27"/>
        <v>0</v>
      </c>
      <c r="DP56" s="1">
        <f t="shared" si="27"/>
        <v>0</v>
      </c>
      <c r="DQ56" s="1">
        <f t="shared" ref="DQ56:DZ59" si="28">+CX17</f>
        <v>0</v>
      </c>
      <c r="DR56" s="1">
        <f t="shared" si="28"/>
        <v>0</v>
      </c>
      <c r="DS56" s="1">
        <f t="shared" si="28"/>
        <v>0</v>
      </c>
      <c r="DT56" s="1">
        <f t="shared" si="28"/>
        <v>0</v>
      </c>
      <c r="DU56" s="1">
        <f t="shared" si="28"/>
        <v>0</v>
      </c>
      <c r="DV56" s="1">
        <f t="shared" si="28"/>
        <v>0</v>
      </c>
      <c r="DW56" s="1">
        <f t="shared" si="28"/>
        <v>0</v>
      </c>
      <c r="DX56" s="1">
        <f t="shared" si="28"/>
        <v>0</v>
      </c>
      <c r="DY56" s="1">
        <f t="shared" si="28"/>
        <v>0</v>
      </c>
      <c r="DZ56" s="1">
        <f t="shared" si="28"/>
        <v>0</v>
      </c>
      <c r="EA56" s="1">
        <f t="shared" ref="EA56:EJ59" si="29">+DH17</f>
        <v>0</v>
      </c>
      <c r="EB56" s="1">
        <f t="shared" si="29"/>
        <v>0</v>
      </c>
      <c r="EC56" s="1">
        <f t="shared" si="29"/>
        <v>0</v>
      </c>
      <c r="ED56" s="1">
        <f t="shared" si="29"/>
        <v>0</v>
      </c>
      <c r="EE56" s="9">
        <f t="shared" si="29"/>
        <v>0</v>
      </c>
      <c r="EF56" s="1">
        <f t="shared" si="29"/>
        <v>0</v>
      </c>
      <c r="EG56" s="1">
        <f t="shared" si="29"/>
        <v>0</v>
      </c>
      <c r="EH56" s="1">
        <f t="shared" si="29"/>
        <v>0</v>
      </c>
      <c r="EI56" s="1">
        <f t="shared" si="29"/>
        <v>0</v>
      </c>
      <c r="EJ56" s="1">
        <f t="shared" si="29"/>
        <v>0</v>
      </c>
      <c r="EK56" s="1">
        <f t="shared" ref="EK56:ET59" si="30">+DR17</f>
        <v>0</v>
      </c>
      <c r="EL56" s="1">
        <f t="shared" si="30"/>
        <v>0</v>
      </c>
      <c r="EM56" s="1">
        <f t="shared" si="30"/>
        <v>0</v>
      </c>
      <c r="EN56" s="1">
        <f t="shared" si="30"/>
        <v>0</v>
      </c>
      <c r="EO56" s="1">
        <f t="shared" si="30"/>
        <v>0</v>
      </c>
      <c r="EP56" s="1">
        <f t="shared" si="30"/>
        <v>0</v>
      </c>
      <c r="EQ56" s="1">
        <f t="shared" si="30"/>
        <v>0</v>
      </c>
      <c r="ER56" s="1">
        <f t="shared" si="30"/>
        <v>0</v>
      </c>
      <c r="ES56" s="1">
        <f t="shared" si="30"/>
        <v>0</v>
      </c>
      <c r="ET56" s="1">
        <f t="shared" si="30"/>
        <v>0</v>
      </c>
      <c r="EU56" s="1">
        <f t="shared" ref="EU56:FD59" si="31">+EB17</f>
        <v>0</v>
      </c>
      <c r="EV56" s="1">
        <f t="shared" si="31"/>
        <v>0</v>
      </c>
      <c r="EW56" s="1">
        <f t="shared" si="31"/>
        <v>0</v>
      </c>
      <c r="EX56" s="9">
        <f t="shared" si="31"/>
        <v>0</v>
      </c>
      <c r="EY56" s="1">
        <f t="shared" si="31"/>
        <v>0</v>
      </c>
      <c r="EZ56" s="1">
        <f t="shared" si="31"/>
        <v>0</v>
      </c>
      <c r="FA56" s="1">
        <f t="shared" si="31"/>
        <v>0</v>
      </c>
      <c r="FB56" s="1">
        <f t="shared" si="31"/>
        <v>0</v>
      </c>
      <c r="FC56" s="1">
        <f t="shared" si="31"/>
        <v>0</v>
      </c>
      <c r="FD56" s="1">
        <f t="shared" si="31"/>
        <v>0</v>
      </c>
      <c r="FE56" s="1">
        <f t="shared" ref="FE56:FN59" si="32">+EL17</f>
        <v>0</v>
      </c>
      <c r="FF56" s="1">
        <f t="shared" si="32"/>
        <v>0</v>
      </c>
      <c r="FG56" s="1">
        <f t="shared" si="32"/>
        <v>0</v>
      </c>
      <c r="FH56" s="1">
        <f t="shared" si="32"/>
        <v>0</v>
      </c>
      <c r="FI56" s="1">
        <f t="shared" si="32"/>
        <v>0</v>
      </c>
      <c r="FJ56" s="1">
        <f t="shared" si="32"/>
        <v>0</v>
      </c>
      <c r="FK56" s="1">
        <f t="shared" si="32"/>
        <v>0</v>
      </c>
      <c r="FL56" s="1">
        <f t="shared" si="32"/>
        <v>0</v>
      </c>
      <c r="FM56" s="1">
        <f t="shared" si="32"/>
        <v>0</v>
      </c>
      <c r="FN56" s="1">
        <f t="shared" si="32"/>
        <v>0</v>
      </c>
      <c r="FO56" s="1">
        <f t="shared" ref="FO56:FX59" si="33">+EV17</f>
        <v>0</v>
      </c>
      <c r="FP56" s="1">
        <f t="shared" si="33"/>
        <v>0</v>
      </c>
      <c r="FQ56" s="9">
        <f t="shared" si="33"/>
        <v>0</v>
      </c>
      <c r="FR56" s="1">
        <f t="shared" si="33"/>
        <v>0</v>
      </c>
      <c r="FS56" s="1">
        <f t="shared" si="33"/>
        <v>0</v>
      </c>
      <c r="FT56" s="1">
        <f t="shared" si="33"/>
        <v>0</v>
      </c>
      <c r="FU56" s="1">
        <f t="shared" si="33"/>
        <v>0</v>
      </c>
      <c r="FV56" s="1">
        <f t="shared" si="33"/>
        <v>0</v>
      </c>
      <c r="FW56" s="1">
        <f t="shared" si="33"/>
        <v>0</v>
      </c>
      <c r="FX56" s="1">
        <f t="shared" si="33"/>
        <v>0</v>
      </c>
      <c r="FY56" s="1">
        <f t="shared" ref="FY56:GH59" si="34">+FF17</f>
        <v>0</v>
      </c>
      <c r="FZ56" s="1">
        <f t="shared" si="34"/>
        <v>0</v>
      </c>
      <c r="GA56" s="1">
        <f t="shared" si="34"/>
        <v>0</v>
      </c>
      <c r="GB56" s="1">
        <f t="shared" si="34"/>
        <v>0</v>
      </c>
      <c r="GC56" s="1">
        <f t="shared" si="34"/>
        <v>0</v>
      </c>
      <c r="GD56" s="1">
        <f t="shared" si="34"/>
        <v>0</v>
      </c>
      <c r="GE56" s="1">
        <f t="shared" si="34"/>
        <v>0</v>
      </c>
      <c r="GF56" s="1">
        <f t="shared" si="34"/>
        <v>0</v>
      </c>
      <c r="GG56" s="1">
        <f t="shared" si="34"/>
        <v>0</v>
      </c>
      <c r="GH56" s="1">
        <f t="shared" si="34"/>
        <v>0</v>
      </c>
      <c r="GI56" s="1">
        <f t="shared" ref="GI56:GR59" si="35">+FP17</f>
        <v>0</v>
      </c>
      <c r="GJ56" s="9">
        <f t="shared" si="35"/>
        <v>0</v>
      </c>
      <c r="GK56" s="1">
        <f t="shared" si="35"/>
        <v>0</v>
      </c>
      <c r="GL56" s="1">
        <f t="shared" si="35"/>
        <v>0</v>
      </c>
      <c r="GM56" s="1">
        <f t="shared" si="35"/>
        <v>0</v>
      </c>
      <c r="GN56" s="1">
        <f t="shared" si="35"/>
        <v>0</v>
      </c>
      <c r="GO56" s="1">
        <f t="shared" si="35"/>
        <v>0</v>
      </c>
      <c r="GP56" s="1">
        <f t="shared" si="35"/>
        <v>0</v>
      </c>
      <c r="GQ56" s="1">
        <f t="shared" si="35"/>
        <v>0</v>
      </c>
      <c r="GR56" s="1">
        <f t="shared" si="35"/>
        <v>0</v>
      </c>
      <c r="GS56" s="1">
        <f t="shared" ref="GS56:HB59" si="36">+FZ17</f>
        <v>0</v>
      </c>
      <c r="GT56" s="1">
        <f t="shared" si="36"/>
        <v>0</v>
      </c>
      <c r="GU56" s="1">
        <f t="shared" si="36"/>
        <v>0</v>
      </c>
      <c r="GV56" s="1">
        <f t="shared" si="36"/>
        <v>0</v>
      </c>
      <c r="GW56" s="1">
        <f t="shared" si="36"/>
        <v>0</v>
      </c>
      <c r="GX56" s="1">
        <f t="shared" si="36"/>
        <v>0</v>
      </c>
      <c r="GY56" s="1">
        <f t="shared" si="36"/>
        <v>0</v>
      </c>
      <c r="GZ56" s="1">
        <f t="shared" si="36"/>
        <v>0</v>
      </c>
      <c r="HA56" s="1">
        <f t="shared" si="36"/>
        <v>0</v>
      </c>
      <c r="HB56" s="1">
        <f t="shared" si="36"/>
        <v>0</v>
      </c>
      <c r="HC56" s="9">
        <f t="shared" ref="HC56:HL59" si="37">+GJ17</f>
        <v>0</v>
      </c>
      <c r="HD56" s="1">
        <f t="shared" si="37"/>
        <v>0</v>
      </c>
      <c r="HE56" s="1">
        <f t="shared" si="37"/>
        <v>0</v>
      </c>
      <c r="HF56" s="1">
        <f t="shared" si="37"/>
        <v>0</v>
      </c>
      <c r="HG56" s="1">
        <f t="shared" si="37"/>
        <v>0</v>
      </c>
      <c r="HH56" s="1">
        <f t="shared" si="37"/>
        <v>0</v>
      </c>
      <c r="HI56" s="1">
        <f t="shared" si="37"/>
        <v>0</v>
      </c>
      <c r="HJ56" s="1">
        <f t="shared" si="37"/>
        <v>0</v>
      </c>
      <c r="HK56" s="1">
        <f t="shared" si="37"/>
        <v>0</v>
      </c>
      <c r="HL56" s="1">
        <f t="shared" si="37"/>
        <v>0</v>
      </c>
      <c r="HM56" s="1">
        <f t="shared" ref="HM56:HV59" si="38">+GT17</f>
        <v>0</v>
      </c>
      <c r="HN56" s="1">
        <f t="shared" si="38"/>
        <v>0</v>
      </c>
      <c r="HO56" s="1">
        <f t="shared" si="38"/>
        <v>0</v>
      </c>
      <c r="HP56" s="1">
        <f t="shared" si="38"/>
        <v>0</v>
      </c>
      <c r="HQ56" s="1">
        <f t="shared" si="38"/>
        <v>0</v>
      </c>
      <c r="HR56" s="1">
        <f t="shared" si="38"/>
        <v>0</v>
      </c>
      <c r="HS56" s="1">
        <f t="shared" si="38"/>
        <v>0</v>
      </c>
      <c r="HT56" s="1">
        <f t="shared" si="38"/>
        <v>0</v>
      </c>
      <c r="HU56" s="1">
        <f t="shared" si="38"/>
        <v>0</v>
      </c>
      <c r="HV56" s="9">
        <f t="shared" si="38"/>
        <v>0</v>
      </c>
      <c r="HW56" s="1"/>
      <c r="HX56" s="1">
        <v>1634</v>
      </c>
      <c r="HY56" s="1">
        <v>2440</v>
      </c>
      <c r="HZ56" s="1">
        <v>2807</v>
      </c>
      <c r="IA56" s="1">
        <v>2794</v>
      </c>
      <c r="IB56" s="1">
        <v>4107</v>
      </c>
      <c r="IC56" s="1">
        <v>1368</v>
      </c>
      <c r="ID56" s="1">
        <v>2825</v>
      </c>
      <c r="IE56" s="1">
        <v>3062</v>
      </c>
      <c r="IF56" s="1">
        <v>3239</v>
      </c>
      <c r="IG56" s="1">
        <v>2336</v>
      </c>
      <c r="IH56" s="1">
        <v>2719</v>
      </c>
      <c r="II56" s="1">
        <v>2232</v>
      </c>
      <c r="IJ56" s="1">
        <v>1417</v>
      </c>
      <c r="IK56" s="1">
        <v>1370</v>
      </c>
      <c r="IL56" s="1">
        <v>2491</v>
      </c>
      <c r="IM56" s="1">
        <v>911</v>
      </c>
      <c r="IN56" s="1">
        <v>1651</v>
      </c>
      <c r="IO56" s="1">
        <v>39403</v>
      </c>
    </row>
    <row r="57" spans="1:249" x14ac:dyDescent="0.4">
      <c r="B57" t="s">
        <v>89</v>
      </c>
      <c r="D57" s="1">
        <v>434</v>
      </c>
      <c r="E57" s="1">
        <v>2036</v>
      </c>
      <c r="F57" s="1">
        <v>2748</v>
      </c>
      <c r="G57" s="1">
        <v>2166</v>
      </c>
      <c r="H57" s="1">
        <v>1140</v>
      </c>
      <c r="I57" s="1">
        <v>468</v>
      </c>
      <c r="J57" s="1">
        <v>1394</v>
      </c>
      <c r="K57" s="1">
        <v>2087</v>
      </c>
      <c r="L57" s="1">
        <v>830</v>
      </c>
      <c r="M57" s="1">
        <v>1881</v>
      </c>
      <c r="N57" s="1">
        <v>1030</v>
      </c>
      <c r="O57" s="1">
        <v>1049</v>
      </c>
      <c r="P57" s="1">
        <v>769</v>
      </c>
      <c r="Q57" s="1">
        <v>1760</v>
      </c>
      <c r="R57" s="1">
        <v>369</v>
      </c>
      <c r="S57" s="1">
        <v>758</v>
      </c>
      <c r="T57" s="1">
        <v>272</v>
      </c>
      <c r="U57" s="9">
        <v>21191</v>
      </c>
      <c r="V57" s="1"/>
      <c r="W57" s="1">
        <f>+D18</f>
        <v>434</v>
      </c>
      <c r="X57" s="1">
        <f t="shared" si="19"/>
        <v>2036</v>
      </c>
      <c r="Y57" s="1">
        <f t="shared" si="19"/>
        <v>2758</v>
      </c>
      <c r="Z57" s="1">
        <f t="shared" si="19"/>
        <v>2177</v>
      </c>
      <c r="AA57" s="1">
        <f t="shared" si="19"/>
        <v>1203</v>
      </c>
      <c r="AB57" s="1">
        <f t="shared" si="19"/>
        <v>482</v>
      </c>
      <c r="AC57" s="1">
        <f t="shared" si="19"/>
        <v>1423</v>
      </c>
      <c r="AD57" s="1">
        <f t="shared" si="19"/>
        <v>2142</v>
      </c>
      <c r="AE57" s="1">
        <f t="shared" si="19"/>
        <v>841</v>
      </c>
      <c r="AF57" s="1">
        <f t="shared" si="19"/>
        <v>1898</v>
      </c>
      <c r="AG57" s="1">
        <f t="shared" si="19"/>
        <v>1047</v>
      </c>
      <c r="AH57" s="1">
        <f t="shared" si="19"/>
        <v>1049</v>
      </c>
      <c r="AI57" s="1">
        <f t="shared" si="19"/>
        <v>775</v>
      </c>
      <c r="AJ57" s="1">
        <f t="shared" si="19"/>
        <v>1878</v>
      </c>
      <c r="AK57" s="1">
        <f t="shared" si="19"/>
        <v>362</v>
      </c>
      <c r="AL57" s="1">
        <f t="shared" si="19"/>
        <v>771</v>
      </c>
      <c r="AM57" s="1">
        <f t="shared" si="19"/>
        <v>276</v>
      </c>
      <c r="AN57" s="9">
        <f t="shared" si="19"/>
        <v>21552</v>
      </c>
      <c r="AO57" s="1">
        <f t="shared" si="20"/>
        <v>0</v>
      </c>
      <c r="AP57" s="1">
        <f t="shared" si="20"/>
        <v>434</v>
      </c>
      <c r="AQ57" s="1">
        <f t="shared" si="20"/>
        <v>2040</v>
      </c>
      <c r="AR57" s="1">
        <f t="shared" si="20"/>
        <v>2780</v>
      </c>
      <c r="AS57" s="1">
        <f t="shared" si="20"/>
        <v>2174</v>
      </c>
      <c r="AT57" s="1">
        <f t="shared" si="20"/>
        <v>1203</v>
      </c>
      <c r="AU57" s="1">
        <f t="shared" si="20"/>
        <v>472</v>
      </c>
      <c r="AV57" s="1">
        <f t="shared" si="20"/>
        <v>1428</v>
      </c>
      <c r="AW57" s="1">
        <f t="shared" si="20"/>
        <v>2150</v>
      </c>
      <c r="AX57" s="1">
        <f t="shared" si="20"/>
        <v>843</v>
      </c>
      <c r="AY57" s="1">
        <f t="shared" si="21"/>
        <v>1902</v>
      </c>
      <c r="AZ57" s="1">
        <f t="shared" si="21"/>
        <v>1050</v>
      </c>
      <c r="BA57" s="1">
        <f t="shared" si="21"/>
        <v>1042</v>
      </c>
      <c r="BB57" s="1">
        <f t="shared" si="21"/>
        <v>821</v>
      </c>
      <c r="BC57" s="1">
        <f t="shared" si="21"/>
        <v>1938</v>
      </c>
      <c r="BD57" s="1">
        <f t="shared" si="21"/>
        <v>364</v>
      </c>
      <c r="BE57" s="1">
        <f t="shared" si="21"/>
        <v>777</v>
      </c>
      <c r="BF57" s="1">
        <f t="shared" si="21"/>
        <v>278</v>
      </c>
      <c r="BG57" s="9">
        <f t="shared" si="21"/>
        <v>21696</v>
      </c>
      <c r="BH57" s="1">
        <f t="shared" si="21"/>
        <v>0</v>
      </c>
      <c r="BI57" s="1">
        <f t="shared" si="22"/>
        <v>438</v>
      </c>
      <c r="BJ57" s="1">
        <f t="shared" si="22"/>
        <v>2061</v>
      </c>
      <c r="BK57" s="1">
        <f t="shared" si="22"/>
        <v>2795</v>
      </c>
      <c r="BL57" s="1">
        <f t="shared" si="22"/>
        <v>2213</v>
      </c>
      <c r="BM57" s="1">
        <f t="shared" si="22"/>
        <v>1212</v>
      </c>
      <c r="BN57" s="1">
        <f t="shared" si="22"/>
        <v>499</v>
      </c>
      <c r="BO57" s="1">
        <f t="shared" si="22"/>
        <v>1485</v>
      </c>
      <c r="BP57" s="1">
        <f t="shared" si="22"/>
        <v>2182</v>
      </c>
      <c r="BQ57" s="1">
        <f t="shared" si="22"/>
        <v>843</v>
      </c>
      <c r="BR57" s="1">
        <f t="shared" si="22"/>
        <v>1903</v>
      </c>
      <c r="BS57" s="1">
        <f t="shared" si="23"/>
        <v>1052</v>
      </c>
      <c r="BT57" s="1">
        <f t="shared" si="23"/>
        <v>1039</v>
      </c>
      <c r="BU57" s="1">
        <f t="shared" si="23"/>
        <v>800</v>
      </c>
      <c r="BV57" s="1">
        <f t="shared" si="23"/>
        <v>1957</v>
      </c>
      <c r="BW57" s="1">
        <f t="shared" si="23"/>
        <v>366</v>
      </c>
      <c r="BX57" s="1">
        <f t="shared" si="23"/>
        <v>794</v>
      </c>
      <c r="BY57" s="1">
        <f t="shared" si="23"/>
        <v>278</v>
      </c>
      <c r="BZ57" s="9">
        <f t="shared" si="23"/>
        <v>21917</v>
      </c>
      <c r="CA57" s="1">
        <f t="shared" si="23"/>
        <v>0</v>
      </c>
      <c r="CB57" s="1">
        <f t="shared" si="23"/>
        <v>542</v>
      </c>
      <c r="CC57" s="1">
        <f t="shared" si="24"/>
        <v>2057</v>
      </c>
      <c r="CD57" s="1">
        <f t="shared" si="24"/>
        <v>2790</v>
      </c>
      <c r="CE57" s="1">
        <f t="shared" si="24"/>
        <v>2211</v>
      </c>
      <c r="CF57" s="1">
        <f t="shared" si="24"/>
        <v>1215</v>
      </c>
      <c r="CG57" s="1">
        <f t="shared" si="24"/>
        <v>500</v>
      </c>
      <c r="CH57" s="1">
        <f t="shared" si="24"/>
        <v>1476</v>
      </c>
      <c r="CI57" s="1">
        <f t="shared" si="24"/>
        <v>2210</v>
      </c>
      <c r="CJ57" s="1">
        <f t="shared" si="24"/>
        <v>847</v>
      </c>
      <c r="CK57" s="1">
        <f t="shared" si="24"/>
        <v>1902</v>
      </c>
      <c r="CL57" s="1">
        <f t="shared" si="24"/>
        <v>1083</v>
      </c>
      <c r="CM57" s="1">
        <f t="shared" si="25"/>
        <v>1048</v>
      </c>
      <c r="CN57" s="1">
        <f t="shared" si="25"/>
        <v>815</v>
      </c>
      <c r="CO57" s="1">
        <f t="shared" si="25"/>
        <v>1877</v>
      </c>
      <c r="CP57" s="1">
        <f t="shared" si="25"/>
        <v>369</v>
      </c>
      <c r="CQ57" s="1">
        <f t="shared" si="25"/>
        <v>806</v>
      </c>
      <c r="CR57" s="1">
        <f t="shared" si="25"/>
        <v>278</v>
      </c>
      <c r="CS57" s="9">
        <f t="shared" si="25"/>
        <v>22026</v>
      </c>
      <c r="CT57" s="1">
        <f t="shared" si="25"/>
        <v>0</v>
      </c>
      <c r="CU57" s="1">
        <f t="shared" si="25"/>
        <v>496</v>
      </c>
      <c r="CV57" s="1">
        <f t="shared" si="25"/>
        <v>2064</v>
      </c>
      <c r="CW57" s="1">
        <f t="shared" si="26"/>
        <v>2789</v>
      </c>
      <c r="CX57" s="1">
        <f t="shared" si="26"/>
        <v>2212</v>
      </c>
      <c r="CY57" s="1">
        <f t="shared" si="26"/>
        <v>1224</v>
      </c>
      <c r="CZ57" s="1">
        <f t="shared" si="26"/>
        <v>502</v>
      </c>
      <c r="DA57" s="1">
        <f t="shared" si="26"/>
        <v>1479</v>
      </c>
      <c r="DB57" s="1">
        <f t="shared" si="26"/>
        <v>2225</v>
      </c>
      <c r="DC57" s="1">
        <f t="shared" si="26"/>
        <v>842</v>
      </c>
      <c r="DD57" s="1">
        <f t="shared" si="26"/>
        <v>1905</v>
      </c>
      <c r="DE57" s="1">
        <f t="shared" si="26"/>
        <v>1081</v>
      </c>
      <c r="DF57" s="1">
        <f t="shared" si="26"/>
        <v>1050</v>
      </c>
      <c r="DG57" s="1">
        <f t="shared" si="27"/>
        <v>820</v>
      </c>
      <c r="DH57" s="1">
        <f t="shared" si="27"/>
        <v>1876</v>
      </c>
      <c r="DI57" s="1">
        <f t="shared" si="27"/>
        <v>370</v>
      </c>
      <c r="DJ57" s="1">
        <f t="shared" si="27"/>
        <v>807</v>
      </c>
      <c r="DK57" s="1">
        <f t="shared" si="27"/>
        <v>279</v>
      </c>
      <c r="DL57" s="9">
        <f t="shared" si="27"/>
        <v>22021</v>
      </c>
      <c r="DM57" s="1">
        <f t="shared" si="27"/>
        <v>0</v>
      </c>
      <c r="DN57" s="1">
        <f t="shared" si="27"/>
        <v>0</v>
      </c>
      <c r="DO57" s="1">
        <f t="shared" si="27"/>
        <v>0</v>
      </c>
      <c r="DP57" s="1">
        <f t="shared" si="27"/>
        <v>0</v>
      </c>
      <c r="DQ57" s="1">
        <f t="shared" si="28"/>
        <v>0</v>
      </c>
      <c r="DR57" s="1">
        <f t="shared" si="28"/>
        <v>0</v>
      </c>
      <c r="DS57" s="1">
        <f t="shared" si="28"/>
        <v>0</v>
      </c>
      <c r="DT57" s="1">
        <f t="shared" si="28"/>
        <v>0</v>
      </c>
      <c r="DU57" s="1">
        <f t="shared" si="28"/>
        <v>0</v>
      </c>
      <c r="DV57" s="1">
        <f t="shared" si="28"/>
        <v>0</v>
      </c>
      <c r="DW57" s="1">
        <f t="shared" si="28"/>
        <v>0</v>
      </c>
      <c r="DX57" s="1">
        <f t="shared" si="28"/>
        <v>0</v>
      </c>
      <c r="DY57" s="1">
        <f t="shared" si="28"/>
        <v>0</v>
      </c>
      <c r="DZ57" s="1">
        <f t="shared" si="28"/>
        <v>0</v>
      </c>
      <c r="EA57" s="1">
        <f t="shared" si="29"/>
        <v>0</v>
      </c>
      <c r="EB57" s="1">
        <f t="shared" si="29"/>
        <v>0</v>
      </c>
      <c r="EC57" s="1">
        <f t="shared" si="29"/>
        <v>0</v>
      </c>
      <c r="ED57" s="1">
        <f t="shared" si="29"/>
        <v>0</v>
      </c>
      <c r="EE57" s="9">
        <f t="shared" si="29"/>
        <v>0</v>
      </c>
      <c r="EF57" s="1">
        <f t="shared" si="29"/>
        <v>0</v>
      </c>
      <c r="EG57" s="1">
        <f t="shared" si="29"/>
        <v>0</v>
      </c>
      <c r="EH57" s="1">
        <f t="shared" si="29"/>
        <v>0</v>
      </c>
      <c r="EI57" s="1">
        <f t="shared" si="29"/>
        <v>0</v>
      </c>
      <c r="EJ57" s="1">
        <f t="shared" si="29"/>
        <v>0</v>
      </c>
      <c r="EK57" s="1">
        <f t="shared" si="30"/>
        <v>0</v>
      </c>
      <c r="EL57" s="1">
        <f t="shared" si="30"/>
        <v>0</v>
      </c>
      <c r="EM57" s="1">
        <f t="shared" si="30"/>
        <v>0</v>
      </c>
      <c r="EN57" s="1">
        <f t="shared" si="30"/>
        <v>0</v>
      </c>
      <c r="EO57" s="1">
        <f t="shared" si="30"/>
        <v>0</v>
      </c>
      <c r="EP57" s="1">
        <f t="shared" si="30"/>
        <v>0</v>
      </c>
      <c r="EQ57" s="1">
        <f t="shared" si="30"/>
        <v>0</v>
      </c>
      <c r="ER57" s="1">
        <f t="shared" si="30"/>
        <v>0</v>
      </c>
      <c r="ES57" s="1">
        <f t="shared" si="30"/>
        <v>0</v>
      </c>
      <c r="ET57" s="1">
        <f t="shared" si="30"/>
        <v>0</v>
      </c>
      <c r="EU57" s="1">
        <f t="shared" si="31"/>
        <v>0</v>
      </c>
      <c r="EV57" s="1">
        <f t="shared" si="31"/>
        <v>0</v>
      </c>
      <c r="EW57" s="1">
        <f t="shared" si="31"/>
        <v>0</v>
      </c>
      <c r="EX57" s="9">
        <f t="shared" si="31"/>
        <v>0</v>
      </c>
      <c r="EY57" s="1">
        <f t="shared" si="31"/>
        <v>0</v>
      </c>
      <c r="EZ57" s="1">
        <f t="shared" si="31"/>
        <v>0</v>
      </c>
      <c r="FA57" s="1">
        <f t="shared" si="31"/>
        <v>0</v>
      </c>
      <c r="FB57" s="1">
        <f t="shared" si="31"/>
        <v>0</v>
      </c>
      <c r="FC57" s="1">
        <f t="shared" si="31"/>
        <v>0</v>
      </c>
      <c r="FD57" s="1">
        <f t="shared" si="31"/>
        <v>0</v>
      </c>
      <c r="FE57" s="1">
        <f t="shared" si="32"/>
        <v>0</v>
      </c>
      <c r="FF57" s="1">
        <f t="shared" si="32"/>
        <v>0</v>
      </c>
      <c r="FG57" s="1">
        <f t="shared" si="32"/>
        <v>0</v>
      </c>
      <c r="FH57" s="1">
        <f t="shared" si="32"/>
        <v>0</v>
      </c>
      <c r="FI57" s="1">
        <f t="shared" si="32"/>
        <v>0</v>
      </c>
      <c r="FJ57" s="1">
        <f t="shared" si="32"/>
        <v>0</v>
      </c>
      <c r="FK57" s="1">
        <f t="shared" si="32"/>
        <v>0</v>
      </c>
      <c r="FL57" s="1">
        <f t="shared" si="32"/>
        <v>0</v>
      </c>
      <c r="FM57" s="1">
        <f t="shared" si="32"/>
        <v>0</v>
      </c>
      <c r="FN57" s="1">
        <f t="shared" si="32"/>
        <v>0</v>
      </c>
      <c r="FO57" s="1">
        <f t="shared" si="33"/>
        <v>0</v>
      </c>
      <c r="FP57" s="1">
        <f t="shared" si="33"/>
        <v>0</v>
      </c>
      <c r="FQ57" s="9">
        <f t="shared" si="33"/>
        <v>0</v>
      </c>
      <c r="FR57" s="1">
        <f t="shared" si="33"/>
        <v>0</v>
      </c>
      <c r="FS57" s="1">
        <f t="shared" si="33"/>
        <v>0</v>
      </c>
      <c r="FT57" s="1">
        <f t="shared" si="33"/>
        <v>0</v>
      </c>
      <c r="FU57" s="1">
        <f t="shared" si="33"/>
        <v>0</v>
      </c>
      <c r="FV57" s="1">
        <f t="shared" si="33"/>
        <v>0</v>
      </c>
      <c r="FW57" s="1">
        <f t="shared" si="33"/>
        <v>0</v>
      </c>
      <c r="FX57" s="1">
        <f t="shared" si="33"/>
        <v>0</v>
      </c>
      <c r="FY57" s="1">
        <f t="shared" si="34"/>
        <v>0</v>
      </c>
      <c r="FZ57" s="1">
        <f t="shared" si="34"/>
        <v>0</v>
      </c>
      <c r="GA57" s="1">
        <f t="shared" si="34"/>
        <v>0</v>
      </c>
      <c r="GB57" s="1">
        <f t="shared" si="34"/>
        <v>0</v>
      </c>
      <c r="GC57" s="1">
        <f t="shared" si="34"/>
        <v>0</v>
      </c>
      <c r="GD57" s="1">
        <f t="shared" si="34"/>
        <v>0</v>
      </c>
      <c r="GE57" s="1">
        <f t="shared" si="34"/>
        <v>0</v>
      </c>
      <c r="GF57" s="1">
        <f t="shared" si="34"/>
        <v>0</v>
      </c>
      <c r="GG57" s="1">
        <f t="shared" si="34"/>
        <v>0</v>
      </c>
      <c r="GH57" s="1">
        <f t="shared" si="34"/>
        <v>0</v>
      </c>
      <c r="GI57" s="1">
        <f t="shared" si="35"/>
        <v>0</v>
      </c>
      <c r="GJ57" s="9">
        <f t="shared" si="35"/>
        <v>0</v>
      </c>
      <c r="GK57" s="1">
        <f t="shared" si="35"/>
        <v>0</v>
      </c>
      <c r="GL57" s="1">
        <f t="shared" si="35"/>
        <v>0</v>
      </c>
      <c r="GM57" s="1">
        <f t="shared" si="35"/>
        <v>0</v>
      </c>
      <c r="GN57" s="1">
        <f t="shared" si="35"/>
        <v>0</v>
      </c>
      <c r="GO57" s="1">
        <f t="shared" si="35"/>
        <v>0</v>
      </c>
      <c r="GP57" s="1">
        <f t="shared" si="35"/>
        <v>0</v>
      </c>
      <c r="GQ57" s="1">
        <f t="shared" si="35"/>
        <v>0</v>
      </c>
      <c r="GR57" s="1">
        <f t="shared" si="35"/>
        <v>0</v>
      </c>
      <c r="GS57" s="1">
        <f t="shared" si="36"/>
        <v>0</v>
      </c>
      <c r="GT57" s="1">
        <f t="shared" si="36"/>
        <v>0</v>
      </c>
      <c r="GU57" s="1">
        <f t="shared" si="36"/>
        <v>0</v>
      </c>
      <c r="GV57" s="1">
        <f t="shared" si="36"/>
        <v>0</v>
      </c>
      <c r="GW57" s="1">
        <f t="shared" si="36"/>
        <v>0</v>
      </c>
      <c r="GX57" s="1">
        <f t="shared" si="36"/>
        <v>0</v>
      </c>
      <c r="GY57" s="1">
        <f t="shared" si="36"/>
        <v>0</v>
      </c>
      <c r="GZ57" s="1">
        <f t="shared" si="36"/>
        <v>0</v>
      </c>
      <c r="HA57" s="1">
        <f t="shared" si="36"/>
        <v>0</v>
      </c>
      <c r="HB57" s="1">
        <f t="shared" si="36"/>
        <v>0</v>
      </c>
      <c r="HC57" s="9">
        <f t="shared" si="37"/>
        <v>0</v>
      </c>
      <c r="HD57" s="1">
        <f t="shared" si="37"/>
        <v>0</v>
      </c>
      <c r="HE57" s="1">
        <f t="shared" si="37"/>
        <v>0</v>
      </c>
      <c r="HF57" s="1">
        <f t="shared" si="37"/>
        <v>0</v>
      </c>
      <c r="HG57" s="1">
        <f t="shared" si="37"/>
        <v>0</v>
      </c>
      <c r="HH57" s="1">
        <f t="shared" si="37"/>
        <v>0</v>
      </c>
      <c r="HI57" s="1">
        <f t="shared" si="37"/>
        <v>0</v>
      </c>
      <c r="HJ57" s="1">
        <f t="shared" si="37"/>
        <v>0</v>
      </c>
      <c r="HK57" s="1">
        <f t="shared" si="37"/>
        <v>0</v>
      </c>
      <c r="HL57" s="1">
        <f t="shared" si="37"/>
        <v>0</v>
      </c>
      <c r="HM57" s="1">
        <f t="shared" si="38"/>
        <v>0</v>
      </c>
      <c r="HN57" s="1">
        <f t="shared" si="38"/>
        <v>0</v>
      </c>
      <c r="HO57" s="1">
        <f t="shared" si="38"/>
        <v>0</v>
      </c>
      <c r="HP57" s="1">
        <f t="shared" si="38"/>
        <v>0</v>
      </c>
      <c r="HQ57" s="1">
        <f t="shared" si="38"/>
        <v>0</v>
      </c>
      <c r="HR57" s="1">
        <f t="shared" si="38"/>
        <v>0</v>
      </c>
      <c r="HS57" s="1">
        <f t="shared" si="38"/>
        <v>0</v>
      </c>
      <c r="HT57" s="1">
        <f t="shared" si="38"/>
        <v>0</v>
      </c>
      <c r="HU57" s="1">
        <f t="shared" si="38"/>
        <v>0</v>
      </c>
      <c r="HV57" s="9">
        <f t="shared" si="38"/>
        <v>0</v>
      </c>
      <c r="HW57" s="1"/>
      <c r="HX57" s="1">
        <v>411</v>
      </c>
      <c r="HY57" s="1">
        <v>1953</v>
      </c>
      <c r="HZ57" s="1">
        <v>2603</v>
      </c>
      <c r="IA57" s="1">
        <v>2108</v>
      </c>
      <c r="IB57" s="1">
        <v>1041</v>
      </c>
      <c r="IC57" s="1">
        <v>369</v>
      </c>
      <c r="ID57" s="1">
        <v>1393</v>
      </c>
      <c r="IE57" s="1">
        <v>1885</v>
      </c>
      <c r="IF57" s="1">
        <v>589</v>
      </c>
      <c r="IG57" s="1">
        <v>1675</v>
      </c>
      <c r="IH57" s="1">
        <v>965</v>
      </c>
      <c r="II57" s="1">
        <v>978</v>
      </c>
      <c r="IJ57" s="1">
        <v>704</v>
      </c>
      <c r="IK57" s="1">
        <v>1708</v>
      </c>
      <c r="IL57" s="1">
        <v>386</v>
      </c>
      <c r="IM57" s="1">
        <v>740</v>
      </c>
      <c r="IN57" s="1">
        <v>326</v>
      </c>
      <c r="IO57" s="1">
        <v>19834</v>
      </c>
    </row>
    <row r="58" spans="1:249" x14ac:dyDescent="0.4">
      <c r="B58" t="s">
        <v>90</v>
      </c>
      <c r="D58" s="1">
        <v>17</v>
      </c>
      <c r="E58" s="1">
        <v>3528</v>
      </c>
      <c r="F58" s="1">
        <v>7213</v>
      </c>
      <c r="G58" s="1">
        <v>6544</v>
      </c>
      <c r="H58" s="1">
        <v>523</v>
      </c>
      <c r="I58" s="1">
        <v>4190</v>
      </c>
      <c r="J58" s="1">
        <v>5013</v>
      </c>
      <c r="K58" s="1">
        <v>5863</v>
      </c>
      <c r="L58" s="1">
        <v>4196</v>
      </c>
      <c r="M58" s="1">
        <v>5623</v>
      </c>
      <c r="N58" s="1">
        <v>3730</v>
      </c>
      <c r="O58" s="1">
        <v>7636</v>
      </c>
      <c r="P58" s="1">
        <v>2059</v>
      </c>
      <c r="Q58" s="1">
        <v>8238</v>
      </c>
      <c r="R58" s="1">
        <v>1781</v>
      </c>
      <c r="S58" s="1">
        <v>535</v>
      </c>
      <c r="T58" s="1">
        <v>4216</v>
      </c>
      <c r="U58" s="9">
        <v>70905</v>
      </c>
      <c r="V58" s="1"/>
      <c r="W58" s="1">
        <f>+D19</f>
        <v>17</v>
      </c>
      <c r="X58" s="1">
        <f t="shared" si="19"/>
        <v>3533</v>
      </c>
      <c r="Y58" s="1">
        <f t="shared" si="19"/>
        <v>7245</v>
      </c>
      <c r="Z58" s="1">
        <f t="shared" si="19"/>
        <v>6564</v>
      </c>
      <c r="AA58" s="1">
        <f t="shared" si="19"/>
        <v>530</v>
      </c>
      <c r="AB58" s="1">
        <f t="shared" si="19"/>
        <v>4208</v>
      </c>
      <c r="AC58" s="1">
        <f t="shared" si="19"/>
        <v>5054</v>
      </c>
      <c r="AD58" s="1">
        <f t="shared" si="19"/>
        <v>5901</v>
      </c>
      <c r="AE58" s="1">
        <f t="shared" si="19"/>
        <v>4209</v>
      </c>
      <c r="AF58" s="1">
        <f t="shared" si="19"/>
        <v>5599</v>
      </c>
      <c r="AG58" s="1">
        <f t="shared" si="19"/>
        <v>3779</v>
      </c>
      <c r="AH58" s="1">
        <f t="shared" si="19"/>
        <v>7564</v>
      </c>
      <c r="AI58" s="1">
        <f t="shared" si="19"/>
        <v>2055</v>
      </c>
      <c r="AJ58" s="1">
        <f t="shared" si="19"/>
        <v>8339</v>
      </c>
      <c r="AK58" s="1">
        <f t="shared" si="19"/>
        <v>1846</v>
      </c>
      <c r="AL58" s="1">
        <f t="shared" si="19"/>
        <v>538</v>
      </c>
      <c r="AM58" s="1">
        <f t="shared" si="19"/>
        <v>4235</v>
      </c>
      <c r="AN58" s="9">
        <f t="shared" si="19"/>
        <v>71216</v>
      </c>
      <c r="AO58" s="1">
        <f t="shared" si="20"/>
        <v>0</v>
      </c>
      <c r="AP58" s="1">
        <f t="shared" si="20"/>
        <v>17</v>
      </c>
      <c r="AQ58" s="1">
        <f t="shared" si="20"/>
        <v>3520</v>
      </c>
      <c r="AR58" s="1">
        <f t="shared" si="20"/>
        <v>7322</v>
      </c>
      <c r="AS58" s="1">
        <f t="shared" si="20"/>
        <v>6609</v>
      </c>
      <c r="AT58" s="1">
        <f t="shared" si="20"/>
        <v>530</v>
      </c>
      <c r="AU58" s="1">
        <f t="shared" si="20"/>
        <v>4212</v>
      </c>
      <c r="AV58" s="1">
        <f t="shared" si="20"/>
        <v>5059</v>
      </c>
      <c r="AW58" s="1">
        <f t="shared" si="20"/>
        <v>5919</v>
      </c>
      <c r="AX58" s="1">
        <f t="shared" si="20"/>
        <v>4237</v>
      </c>
      <c r="AY58" s="1">
        <f t="shared" si="21"/>
        <v>5610</v>
      </c>
      <c r="AZ58" s="1">
        <f t="shared" si="21"/>
        <v>3841</v>
      </c>
      <c r="BA58" s="1">
        <f t="shared" si="21"/>
        <v>7548</v>
      </c>
      <c r="BB58" s="1">
        <f t="shared" si="21"/>
        <v>2058</v>
      </c>
      <c r="BC58" s="1">
        <f t="shared" si="21"/>
        <v>8333</v>
      </c>
      <c r="BD58" s="1">
        <f t="shared" si="21"/>
        <v>1873</v>
      </c>
      <c r="BE58" s="1">
        <f t="shared" si="21"/>
        <v>541</v>
      </c>
      <c r="BF58" s="1">
        <f t="shared" si="21"/>
        <v>4266</v>
      </c>
      <c r="BG58" s="9">
        <f t="shared" si="21"/>
        <v>71495</v>
      </c>
      <c r="BH58" s="1">
        <f t="shared" si="21"/>
        <v>0</v>
      </c>
      <c r="BI58" s="1">
        <f t="shared" si="22"/>
        <v>17</v>
      </c>
      <c r="BJ58" s="1">
        <f t="shared" si="22"/>
        <v>3570</v>
      </c>
      <c r="BK58" s="1">
        <f t="shared" si="22"/>
        <v>7344</v>
      </c>
      <c r="BL58" s="1">
        <f t="shared" si="22"/>
        <v>6768</v>
      </c>
      <c r="BM58" s="1">
        <f t="shared" si="22"/>
        <v>527</v>
      </c>
      <c r="BN58" s="1">
        <f t="shared" si="22"/>
        <v>4202</v>
      </c>
      <c r="BO58" s="1">
        <f t="shared" si="22"/>
        <v>5060</v>
      </c>
      <c r="BP58" s="1">
        <f t="shared" si="22"/>
        <v>5953</v>
      </c>
      <c r="BQ58" s="1">
        <f t="shared" si="22"/>
        <v>4254</v>
      </c>
      <c r="BR58" s="1">
        <f t="shared" si="22"/>
        <v>5560</v>
      </c>
      <c r="BS58" s="1">
        <f t="shared" si="23"/>
        <v>3903</v>
      </c>
      <c r="BT58" s="1">
        <f t="shared" si="23"/>
        <v>7548</v>
      </c>
      <c r="BU58" s="1">
        <f t="shared" si="23"/>
        <v>2073</v>
      </c>
      <c r="BV58" s="1">
        <f t="shared" si="23"/>
        <v>8359</v>
      </c>
      <c r="BW58" s="1">
        <f t="shared" si="23"/>
        <v>1876</v>
      </c>
      <c r="BX58" s="1">
        <f t="shared" si="23"/>
        <v>538</v>
      </c>
      <c r="BY58" s="1">
        <f t="shared" si="23"/>
        <v>4340</v>
      </c>
      <c r="BZ58" s="9">
        <f t="shared" si="23"/>
        <v>71892</v>
      </c>
      <c r="CA58" s="1">
        <f t="shared" si="23"/>
        <v>0</v>
      </c>
      <c r="CB58" s="1">
        <f t="shared" si="23"/>
        <v>598</v>
      </c>
      <c r="CC58" s="1">
        <f t="shared" si="24"/>
        <v>3613</v>
      </c>
      <c r="CD58" s="1">
        <f t="shared" si="24"/>
        <v>7384</v>
      </c>
      <c r="CE58" s="1">
        <f t="shared" si="24"/>
        <v>6728</v>
      </c>
      <c r="CF58" s="1">
        <f t="shared" si="24"/>
        <v>526</v>
      </c>
      <c r="CG58" s="1">
        <f t="shared" si="24"/>
        <v>4194</v>
      </c>
      <c r="CH58" s="1">
        <f t="shared" si="24"/>
        <v>5061</v>
      </c>
      <c r="CI58" s="1">
        <f t="shared" si="24"/>
        <v>5962</v>
      </c>
      <c r="CJ58" s="1">
        <f t="shared" si="24"/>
        <v>4268</v>
      </c>
      <c r="CK58" s="1">
        <f t="shared" si="24"/>
        <v>5544</v>
      </c>
      <c r="CL58" s="1">
        <f t="shared" si="24"/>
        <v>3529</v>
      </c>
      <c r="CM58" s="1">
        <f t="shared" si="25"/>
        <v>7594</v>
      </c>
      <c r="CN58" s="1">
        <f t="shared" si="25"/>
        <v>2086</v>
      </c>
      <c r="CO58" s="1">
        <f t="shared" si="25"/>
        <v>8413</v>
      </c>
      <c r="CP58" s="1">
        <f t="shared" si="25"/>
        <v>1913</v>
      </c>
      <c r="CQ58" s="1">
        <f t="shared" si="25"/>
        <v>549</v>
      </c>
      <c r="CR58" s="1">
        <f t="shared" si="25"/>
        <v>4372</v>
      </c>
      <c r="CS58" s="9">
        <f t="shared" si="25"/>
        <v>72334</v>
      </c>
      <c r="CT58" s="1">
        <f t="shared" si="25"/>
        <v>0</v>
      </c>
      <c r="CU58" s="1">
        <f t="shared" si="25"/>
        <v>644</v>
      </c>
      <c r="CV58" s="1">
        <f t="shared" si="25"/>
        <v>3654</v>
      </c>
      <c r="CW58" s="1">
        <f t="shared" si="26"/>
        <v>7393</v>
      </c>
      <c r="CX58" s="1">
        <f t="shared" si="26"/>
        <v>6750</v>
      </c>
      <c r="CY58" s="1">
        <f t="shared" si="26"/>
        <v>519</v>
      </c>
      <c r="CZ58" s="1">
        <f t="shared" si="26"/>
        <v>4219</v>
      </c>
      <c r="DA58" s="1">
        <f t="shared" si="26"/>
        <v>5100</v>
      </c>
      <c r="DB58" s="1">
        <f t="shared" si="26"/>
        <v>5956</v>
      </c>
      <c r="DC58" s="1">
        <f t="shared" si="26"/>
        <v>4256</v>
      </c>
      <c r="DD58" s="1">
        <f t="shared" si="26"/>
        <v>5517</v>
      </c>
      <c r="DE58" s="1">
        <f t="shared" si="26"/>
        <v>3536</v>
      </c>
      <c r="DF58" s="1">
        <f t="shared" si="26"/>
        <v>7615</v>
      </c>
      <c r="DG58" s="1">
        <f t="shared" si="27"/>
        <v>2102</v>
      </c>
      <c r="DH58" s="1">
        <f t="shared" si="27"/>
        <v>8404</v>
      </c>
      <c r="DI58" s="1">
        <f t="shared" si="27"/>
        <v>1892</v>
      </c>
      <c r="DJ58" s="1">
        <f t="shared" si="27"/>
        <v>556</v>
      </c>
      <c r="DK58" s="1">
        <f t="shared" si="27"/>
        <v>4377</v>
      </c>
      <c r="DL58" s="9">
        <f t="shared" si="27"/>
        <v>72490</v>
      </c>
      <c r="DM58" s="1">
        <f t="shared" si="27"/>
        <v>0</v>
      </c>
      <c r="DN58" s="1">
        <f t="shared" si="27"/>
        <v>0</v>
      </c>
      <c r="DO58" s="1">
        <f t="shared" si="27"/>
        <v>0</v>
      </c>
      <c r="DP58" s="1">
        <f t="shared" si="27"/>
        <v>0</v>
      </c>
      <c r="DQ58" s="1">
        <f t="shared" si="28"/>
        <v>0</v>
      </c>
      <c r="DR58" s="1">
        <f t="shared" si="28"/>
        <v>0</v>
      </c>
      <c r="DS58" s="1">
        <f t="shared" si="28"/>
        <v>0</v>
      </c>
      <c r="DT58" s="1">
        <f t="shared" si="28"/>
        <v>0</v>
      </c>
      <c r="DU58" s="1">
        <f t="shared" si="28"/>
        <v>0</v>
      </c>
      <c r="DV58" s="1">
        <f t="shared" si="28"/>
        <v>0</v>
      </c>
      <c r="DW58" s="1">
        <f t="shared" si="28"/>
        <v>0</v>
      </c>
      <c r="DX58" s="1">
        <f t="shared" si="28"/>
        <v>0</v>
      </c>
      <c r="DY58" s="1">
        <f t="shared" si="28"/>
        <v>0</v>
      </c>
      <c r="DZ58" s="1">
        <f t="shared" si="28"/>
        <v>0</v>
      </c>
      <c r="EA58" s="1">
        <f t="shared" si="29"/>
        <v>0</v>
      </c>
      <c r="EB58" s="1">
        <f t="shared" si="29"/>
        <v>0</v>
      </c>
      <c r="EC58" s="1">
        <f t="shared" si="29"/>
        <v>0</v>
      </c>
      <c r="ED58" s="1">
        <f t="shared" si="29"/>
        <v>0</v>
      </c>
      <c r="EE58" s="9">
        <f t="shared" si="29"/>
        <v>0</v>
      </c>
      <c r="EF58" s="1">
        <f t="shared" si="29"/>
        <v>0</v>
      </c>
      <c r="EG58" s="1">
        <f t="shared" si="29"/>
        <v>0</v>
      </c>
      <c r="EH58" s="1">
        <f t="shared" si="29"/>
        <v>0</v>
      </c>
      <c r="EI58" s="1">
        <f t="shared" si="29"/>
        <v>0</v>
      </c>
      <c r="EJ58" s="1">
        <f t="shared" si="29"/>
        <v>0</v>
      </c>
      <c r="EK58" s="1">
        <f t="shared" si="30"/>
        <v>0</v>
      </c>
      <c r="EL58" s="1">
        <f t="shared" si="30"/>
        <v>0</v>
      </c>
      <c r="EM58" s="1">
        <f t="shared" si="30"/>
        <v>0</v>
      </c>
      <c r="EN58" s="1">
        <f t="shared" si="30"/>
        <v>0</v>
      </c>
      <c r="EO58" s="1">
        <f t="shared" si="30"/>
        <v>0</v>
      </c>
      <c r="EP58" s="1">
        <f t="shared" si="30"/>
        <v>0</v>
      </c>
      <c r="EQ58" s="1">
        <f t="shared" si="30"/>
        <v>0</v>
      </c>
      <c r="ER58" s="1">
        <f t="shared" si="30"/>
        <v>0</v>
      </c>
      <c r="ES58" s="1">
        <f t="shared" si="30"/>
        <v>0</v>
      </c>
      <c r="ET58" s="1">
        <f t="shared" si="30"/>
        <v>0</v>
      </c>
      <c r="EU58" s="1">
        <f t="shared" si="31"/>
        <v>0</v>
      </c>
      <c r="EV58" s="1">
        <f t="shared" si="31"/>
        <v>0</v>
      </c>
      <c r="EW58" s="1">
        <f t="shared" si="31"/>
        <v>0</v>
      </c>
      <c r="EX58" s="9">
        <f t="shared" si="31"/>
        <v>0</v>
      </c>
      <c r="EY58" s="1">
        <f t="shared" si="31"/>
        <v>0</v>
      </c>
      <c r="EZ58" s="1">
        <f t="shared" si="31"/>
        <v>0</v>
      </c>
      <c r="FA58" s="1">
        <f t="shared" si="31"/>
        <v>0</v>
      </c>
      <c r="FB58" s="1">
        <f t="shared" si="31"/>
        <v>0</v>
      </c>
      <c r="FC58" s="1">
        <f t="shared" si="31"/>
        <v>0</v>
      </c>
      <c r="FD58" s="1">
        <f t="shared" si="31"/>
        <v>0</v>
      </c>
      <c r="FE58" s="1">
        <f t="shared" si="32"/>
        <v>0</v>
      </c>
      <c r="FF58" s="1">
        <f t="shared" si="32"/>
        <v>0</v>
      </c>
      <c r="FG58" s="1">
        <f t="shared" si="32"/>
        <v>0</v>
      </c>
      <c r="FH58" s="1">
        <f t="shared" si="32"/>
        <v>0</v>
      </c>
      <c r="FI58" s="1">
        <f t="shared" si="32"/>
        <v>0</v>
      </c>
      <c r="FJ58" s="1">
        <f t="shared" si="32"/>
        <v>0</v>
      </c>
      <c r="FK58" s="1">
        <f t="shared" si="32"/>
        <v>0</v>
      </c>
      <c r="FL58" s="1">
        <f t="shared" si="32"/>
        <v>0</v>
      </c>
      <c r="FM58" s="1">
        <f t="shared" si="32"/>
        <v>0</v>
      </c>
      <c r="FN58" s="1">
        <f t="shared" si="32"/>
        <v>0</v>
      </c>
      <c r="FO58" s="1">
        <f t="shared" si="33"/>
        <v>0</v>
      </c>
      <c r="FP58" s="1">
        <f t="shared" si="33"/>
        <v>0</v>
      </c>
      <c r="FQ58" s="9">
        <f t="shared" si="33"/>
        <v>0</v>
      </c>
      <c r="FR58" s="1">
        <f t="shared" si="33"/>
        <v>0</v>
      </c>
      <c r="FS58" s="1">
        <f t="shared" si="33"/>
        <v>0</v>
      </c>
      <c r="FT58" s="1">
        <f t="shared" si="33"/>
        <v>0</v>
      </c>
      <c r="FU58" s="1">
        <f t="shared" si="33"/>
        <v>0</v>
      </c>
      <c r="FV58" s="1">
        <f t="shared" si="33"/>
        <v>0</v>
      </c>
      <c r="FW58" s="1">
        <f t="shared" si="33"/>
        <v>0</v>
      </c>
      <c r="FX58" s="1">
        <f t="shared" si="33"/>
        <v>0</v>
      </c>
      <c r="FY58" s="1">
        <f t="shared" si="34"/>
        <v>0</v>
      </c>
      <c r="FZ58" s="1">
        <f t="shared" si="34"/>
        <v>0</v>
      </c>
      <c r="GA58" s="1">
        <f t="shared" si="34"/>
        <v>0</v>
      </c>
      <c r="GB58" s="1">
        <f t="shared" si="34"/>
        <v>0</v>
      </c>
      <c r="GC58" s="1">
        <f t="shared" si="34"/>
        <v>0</v>
      </c>
      <c r="GD58" s="1">
        <f t="shared" si="34"/>
        <v>0</v>
      </c>
      <c r="GE58" s="1">
        <f t="shared" si="34"/>
        <v>0</v>
      </c>
      <c r="GF58" s="1">
        <f t="shared" si="34"/>
        <v>0</v>
      </c>
      <c r="GG58" s="1">
        <f t="shared" si="34"/>
        <v>0</v>
      </c>
      <c r="GH58" s="1">
        <f t="shared" si="34"/>
        <v>0</v>
      </c>
      <c r="GI58" s="1">
        <f t="shared" si="35"/>
        <v>0</v>
      </c>
      <c r="GJ58" s="9">
        <f t="shared" si="35"/>
        <v>0</v>
      </c>
      <c r="GK58" s="1">
        <f t="shared" si="35"/>
        <v>0</v>
      </c>
      <c r="GL58" s="1">
        <f t="shared" si="35"/>
        <v>0</v>
      </c>
      <c r="GM58" s="1">
        <f t="shared" si="35"/>
        <v>0</v>
      </c>
      <c r="GN58" s="1">
        <f t="shared" si="35"/>
        <v>0</v>
      </c>
      <c r="GO58" s="1">
        <f t="shared" si="35"/>
        <v>0</v>
      </c>
      <c r="GP58" s="1">
        <f t="shared" si="35"/>
        <v>0</v>
      </c>
      <c r="GQ58" s="1">
        <f t="shared" si="35"/>
        <v>0</v>
      </c>
      <c r="GR58" s="1">
        <f t="shared" si="35"/>
        <v>0</v>
      </c>
      <c r="GS58" s="1">
        <f t="shared" si="36"/>
        <v>0</v>
      </c>
      <c r="GT58" s="1">
        <f t="shared" si="36"/>
        <v>0</v>
      </c>
      <c r="GU58" s="1">
        <f t="shared" si="36"/>
        <v>0</v>
      </c>
      <c r="GV58" s="1">
        <f t="shared" si="36"/>
        <v>0</v>
      </c>
      <c r="GW58" s="1">
        <f t="shared" si="36"/>
        <v>0</v>
      </c>
      <c r="GX58" s="1">
        <f t="shared" si="36"/>
        <v>0</v>
      </c>
      <c r="GY58" s="1">
        <f t="shared" si="36"/>
        <v>0</v>
      </c>
      <c r="GZ58" s="1">
        <f t="shared" si="36"/>
        <v>0</v>
      </c>
      <c r="HA58" s="1">
        <f t="shared" si="36"/>
        <v>0</v>
      </c>
      <c r="HB58" s="1">
        <f t="shared" si="36"/>
        <v>0</v>
      </c>
      <c r="HC58" s="9">
        <f t="shared" si="37"/>
        <v>0</v>
      </c>
      <c r="HD58" s="1">
        <f t="shared" si="37"/>
        <v>0</v>
      </c>
      <c r="HE58" s="1">
        <f t="shared" si="37"/>
        <v>0</v>
      </c>
      <c r="HF58" s="1">
        <f t="shared" si="37"/>
        <v>0</v>
      </c>
      <c r="HG58" s="1">
        <f t="shared" si="37"/>
        <v>0</v>
      </c>
      <c r="HH58" s="1">
        <f t="shared" si="37"/>
        <v>0</v>
      </c>
      <c r="HI58" s="1">
        <f t="shared" si="37"/>
        <v>0</v>
      </c>
      <c r="HJ58" s="1">
        <f t="shared" si="37"/>
        <v>0</v>
      </c>
      <c r="HK58" s="1">
        <f t="shared" si="37"/>
        <v>0</v>
      </c>
      <c r="HL58" s="1">
        <f t="shared" si="37"/>
        <v>0</v>
      </c>
      <c r="HM58" s="1">
        <f t="shared" si="38"/>
        <v>0</v>
      </c>
      <c r="HN58" s="1">
        <f t="shared" si="38"/>
        <v>0</v>
      </c>
      <c r="HO58" s="1">
        <f t="shared" si="38"/>
        <v>0</v>
      </c>
      <c r="HP58" s="1">
        <f t="shared" si="38"/>
        <v>0</v>
      </c>
      <c r="HQ58" s="1">
        <f t="shared" si="38"/>
        <v>0</v>
      </c>
      <c r="HR58" s="1">
        <f t="shared" si="38"/>
        <v>0</v>
      </c>
      <c r="HS58" s="1">
        <f t="shared" si="38"/>
        <v>0</v>
      </c>
      <c r="HT58" s="1">
        <f t="shared" si="38"/>
        <v>0</v>
      </c>
      <c r="HU58" s="1">
        <f t="shared" si="38"/>
        <v>0</v>
      </c>
      <c r="HV58" s="9">
        <f t="shared" si="38"/>
        <v>0</v>
      </c>
      <c r="HW58" s="1"/>
      <c r="HX58" s="1"/>
      <c r="HY58" s="1">
        <v>3459</v>
      </c>
      <c r="HZ58" s="1">
        <v>6600</v>
      </c>
      <c r="IA58" s="1">
        <v>6194</v>
      </c>
      <c r="IB58" s="1">
        <v>488</v>
      </c>
      <c r="IC58" s="1">
        <v>3846</v>
      </c>
      <c r="ID58" s="1">
        <v>4875</v>
      </c>
      <c r="IE58" s="1">
        <v>5127</v>
      </c>
      <c r="IF58" s="1">
        <v>4364</v>
      </c>
      <c r="IG58" s="1">
        <v>5353</v>
      </c>
      <c r="IH58" s="1">
        <v>3540</v>
      </c>
      <c r="II58" s="1">
        <v>6847</v>
      </c>
      <c r="IJ58" s="1">
        <v>1967</v>
      </c>
      <c r="IK58" s="1">
        <v>7697</v>
      </c>
      <c r="IL58" s="1">
        <v>1450</v>
      </c>
      <c r="IM58" s="1">
        <v>522</v>
      </c>
      <c r="IN58" s="1">
        <v>3879</v>
      </c>
      <c r="IO58" s="1">
        <v>66208</v>
      </c>
    </row>
    <row r="59" spans="1:249" x14ac:dyDescent="0.4">
      <c r="B59" t="s">
        <v>91</v>
      </c>
      <c r="D59" s="1">
        <v>4</v>
      </c>
      <c r="E59" s="1">
        <v>809</v>
      </c>
      <c r="F59" s="1">
        <v>1697</v>
      </c>
      <c r="G59" s="1">
        <v>1625</v>
      </c>
      <c r="H59" s="1">
        <v>136</v>
      </c>
      <c r="I59" s="1">
        <v>784</v>
      </c>
      <c r="J59" s="1">
        <v>616</v>
      </c>
      <c r="K59" s="1">
        <v>1090</v>
      </c>
      <c r="L59" s="1">
        <v>1374</v>
      </c>
      <c r="M59" s="1">
        <v>2136</v>
      </c>
      <c r="N59" s="1">
        <v>808</v>
      </c>
      <c r="O59" s="1">
        <v>1308</v>
      </c>
      <c r="P59" s="1">
        <v>497</v>
      </c>
      <c r="Q59" s="1">
        <v>2067</v>
      </c>
      <c r="R59" s="1">
        <v>331</v>
      </c>
      <c r="S59" s="1">
        <v>174</v>
      </c>
      <c r="T59" s="1">
        <v>610</v>
      </c>
      <c r="U59" s="9">
        <v>16066</v>
      </c>
      <c r="V59" s="1"/>
      <c r="W59" s="1">
        <f>+D20</f>
        <v>7</v>
      </c>
      <c r="X59" s="1">
        <f t="shared" si="19"/>
        <v>813</v>
      </c>
      <c r="Y59" s="1">
        <f t="shared" si="19"/>
        <v>1694</v>
      </c>
      <c r="Z59" s="1">
        <f t="shared" si="19"/>
        <v>1627</v>
      </c>
      <c r="AA59" s="1">
        <f t="shared" si="19"/>
        <v>135</v>
      </c>
      <c r="AB59" s="1">
        <f t="shared" si="19"/>
        <v>787</v>
      </c>
      <c r="AC59" s="1">
        <f t="shared" si="19"/>
        <v>619</v>
      </c>
      <c r="AD59" s="1">
        <f t="shared" si="19"/>
        <v>1118</v>
      </c>
      <c r="AE59" s="1">
        <f t="shared" si="19"/>
        <v>1403</v>
      </c>
      <c r="AF59" s="1">
        <f t="shared" si="19"/>
        <v>2163</v>
      </c>
      <c r="AG59" s="1">
        <f t="shared" si="19"/>
        <v>808</v>
      </c>
      <c r="AH59" s="1">
        <f t="shared" si="19"/>
        <v>1299</v>
      </c>
      <c r="AI59" s="1">
        <f t="shared" si="19"/>
        <v>500</v>
      </c>
      <c r="AJ59" s="1">
        <f t="shared" si="19"/>
        <v>2064</v>
      </c>
      <c r="AK59" s="1">
        <f t="shared" si="19"/>
        <v>333</v>
      </c>
      <c r="AL59" s="1">
        <f t="shared" si="19"/>
        <v>175</v>
      </c>
      <c r="AM59" s="1">
        <f t="shared" si="19"/>
        <v>610</v>
      </c>
      <c r="AN59" s="9">
        <f t="shared" si="19"/>
        <v>16155</v>
      </c>
      <c r="AO59" s="1">
        <f t="shared" si="20"/>
        <v>0</v>
      </c>
      <c r="AP59" s="1">
        <f t="shared" si="20"/>
        <v>7</v>
      </c>
      <c r="AQ59" s="1">
        <f t="shared" si="20"/>
        <v>809</v>
      </c>
      <c r="AR59" s="1">
        <f t="shared" si="20"/>
        <v>1697</v>
      </c>
      <c r="AS59" s="1">
        <f t="shared" si="20"/>
        <v>1608</v>
      </c>
      <c r="AT59" s="1">
        <f t="shared" si="20"/>
        <v>134</v>
      </c>
      <c r="AU59" s="1">
        <f t="shared" si="20"/>
        <v>791</v>
      </c>
      <c r="AV59" s="1">
        <f t="shared" si="20"/>
        <v>621</v>
      </c>
      <c r="AW59" s="1">
        <f t="shared" si="20"/>
        <v>1138</v>
      </c>
      <c r="AX59" s="1">
        <f t="shared" si="20"/>
        <v>1429</v>
      </c>
      <c r="AY59" s="1">
        <f t="shared" si="21"/>
        <v>2167</v>
      </c>
      <c r="AZ59" s="1">
        <f t="shared" si="21"/>
        <v>765</v>
      </c>
      <c r="BA59" s="1">
        <f t="shared" si="21"/>
        <v>1300</v>
      </c>
      <c r="BB59" s="1">
        <f t="shared" si="21"/>
        <v>500</v>
      </c>
      <c r="BC59" s="1">
        <f t="shared" si="21"/>
        <v>2067</v>
      </c>
      <c r="BD59" s="1">
        <f t="shared" si="21"/>
        <v>330</v>
      </c>
      <c r="BE59" s="1">
        <f t="shared" si="21"/>
        <v>176</v>
      </c>
      <c r="BF59" s="1">
        <f t="shared" si="21"/>
        <v>613</v>
      </c>
      <c r="BG59" s="9">
        <f t="shared" si="21"/>
        <v>16152</v>
      </c>
      <c r="BH59" s="1">
        <f t="shared" si="21"/>
        <v>0</v>
      </c>
      <c r="BI59" s="1">
        <f t="shared" si="22"/>
        <v>7</v>
      </c>
      <c r="BJ59" s="1">
        <f t="shared" si="22"/>
        <v>805</v>
      </c>
      <c r="BK59" s="1">
        <f t="shared" si="22"/>
        <v>1702</v>
      </c>
      <c r="BL59" s="1">
        <f t="shared" si="22"/>
        <v>1593</v>
      </c>
      <c r="BM59" s="1">
        <f t="shared" si="22"/>
        <v>137</v>
      </c>
      <c r="BN59" s="1">
        <f t="shared" si="22"/>
        <v>794</v>
      </c>
      <c r="BO59" s="1">
        <f t="shared" si="22"/>
        <v>617</v>
      </c>
      <c r="BP59" s="1">
        <f t="shared" si="22"/>
        <v>1137</v>
      </c>
      <c r="BQ59" s="1">
        <f t="shared" si="22"/>
        <v>1425</v>
      </c>
      <c r="BR59" s="1">
        <f t="shared" si="22"/>
        <v>2166</v>
      </c>
      <c r="BS59" s="1">
        <f t="shared" si="23"/>
        <v>760</v>
      </c>
      <c r="BT59" s="1">
        <f t="shared" si="23"/>
        <v>1316</v>
      </c>
      <c r="BU59" s="1">
        <f t="shared" si="23"/>
        <v>501</v>
      </c>
      <c r="BV59" s="1">
        <f t="shared" si="23"/>
        <v>2079</v>
      </c>
      <c r="BW59" s="1">
        <f t="shared" si="23"/>
        <v>328</v>
      </c>
      <c r="BX59" s="1">
        <f t="shared" si="23"/>
        <v>179</v>
      </c>
      <c r="BY59" s="1">
        <f t="shared" si="23"/>
        <v>614</v>
      </c>
      <c r="BZ59" s="9">
        <f t="shared" si="23"/>
        <v>16160</v>
      </c>
      <c r="CA59" s="1">
        <f t="shared" si="23"/>
        <v>0</v>
      </c>
      <c r="CB59" s="1">
        <f t="shared" si="23"/>
        <v>185</v>
      </c>
      <c r="CC59" s="1">
        <f t="shared" si="24"/>
        <v>810</v>
      </c>
      <c r="CD59" s="1">
        <f t="shared" si="24"/>
        <v>1697</v>
      </c>
      <c r="CE59" s="1">
        <f t="shared" si="24"/>
        <v>1585</v>
      </c>
      <c r="CF59" s="1">
        <f t="shared" si="24"/>
        <v>136</v>
      </c>
      <c r="CG59" s="1">
        <f t="shared" si="24"/>
        <v>794</v>
      </c>
      <c r="CH59" s="1">
        <f t="shared" si="24"/>
        <v>618</v>
      </c>
      <c r="CI59" s="1">
        <f t="shared" si="24"/>
        <v>1138</v>
      </c>
      <c r="CJ59" s="1">
        <f t="shared" si="24"/>
        <v>1433</v>
      </c>
      <c r="CK59" s="1">
        <f t="shared" si="24"/>
        <v>2161</v>
      </c>
      <c r="CL59" s="1">
        <f t="shared" si="24"/>
        <v>675</v>
      </c>
      <c r="CM59" s="1">
        <f t="shared" si="25"/>
        <v>1319</v>
      </c>
      <c r="CN59" s="1">
        <f t="shared" si="25"/>
        <v>504</v>
      </c>
      <c r="CO59" s="1">
        <f t="shared" si="25"/>
        <v>2007</v>
      </c>
      <c r="CP59" s="1">
        <f t="shared" si="25"/>
        <v>325</v>
      </c>
      <c r="CQ59" s="1">
        <f t="shared" si="25"/>
        <v>179</v>
      </c>
      <c r="CR59" s="1">
        <f t="shared" si="25"/>
        <v>618</v>
      </c>
      <c r="CS59" s="9">
        <f t="shared" si="25"/>
        <v>16184</v>
      </c>
      <c r="CT59" s="1">
        <f t="shared" si="25"/>
        <v>0</v>
      </c>
      <c r="CU59" s="1">
        <f t="shared" si="25"/>
        <v>237</v>
      </c>
      <c r="CV59" s="1">
        <f t="shared" si="25"/>
        <v>806</v>
      </c>
      <c r="CW59" s="1">
        <f t="shared" si="26"/>
        <v>1704</v>
      </c>
      <c r="CX59" s="1">
        <f t="shared" si="26"/>
        <v>1588</v>
      </c>
      <c r="CY59" s="1">
        <f t="shared" si="26"/>
        <v>136</v>
      </c>
      <c r="CZ59" s="1">
        <f t="shared" si="26"/>
        <v>785</v>
      </c>
      <c r="DA59" s="1">
        <f t="shared" si="26"/>
        <v>617</v>
      </c>
      <c r="DB59" s="1">
        <f t="shared" si="26"/>
        <v>1143</v>
      </c>
      <c r="DC59" s="1">
        <f t="shared" si="26"/>
        <v>1439</v>
      </c>
      <c r="DD59" s="1">
        <f t="shared" si="26"/>
        <v>2163</v>
      </c>
      <c r="DE59" s="1">
        <f t="shared" si="26"/>
        <v>669</v>
      </c>
      <c r="DF59" s="1">
        <f t="shared" si="26"/>
        <v>1324</v>
      </c>
      <c r="DG59" s="1">
        <f t="shared" si="27"/>
        <v>501</v>
      </c>
      <c r="DH59" s="1">
        <f t="shared" si="27"/>
        <v>2048</v>
      </c>
      <c r="DI59" s="1">
        <f t="shared" si="27"/>
        <v>327</v>
      </c>
      <c r="DJ59" s="1">
        <f t="shared" si="27"/>
        <v>179</v>
      </c>
      <c r="DK59" s="1">
        <f t="shared" si="27"/>
        <v>621</v>
      </c>
      <c r="DL59" s="9">
        <f t="shared" si="27"/>
        <v>16287</v>
      </c>
      <c r="DM59" s="1">
        <f t="shared" si="27"/>
        <v>0</v>
      </c>
      <c r="DN59" s="1">
        <f t="shared" si="27"/>
        <v>0</v>
      </c>
      <c r="DO59" s="1">
        <f t="shared" si="27"/>
        <v>0</v>
      </c>
      <c r="DP59" s="1">
        <f t="shared" si="27"/>
        <v>0</v>
      </c>
      <c r="DQ59" s="1">
        <f t="shared" si="28"/>
        <v>0</v>
      </c>
      <c r="DR59" s="1">
        <f t="shared" si="28"/>
        <v>0</v>
      </c>
      <c r="DS59" s="1">
        <f t="shared" si="28"/>
        <v>0</v>
      </c>
      <c r="DT59" s="1">
        <f t="shared" si="28"/>
        <v>0</v>
      </c>
      <c r="DU59" s="1">
        <f t="shared" si="28"/>
        <v>0</v>
      </c>
      <c r="DV59" s="1">
        <f t="shared" si="28"/>
        <v>0</v>
      </c>
      <c r="DW59" s="1">
        <f t="shared" si="28"/>
        <v>0</v>
      </c>
      <c r="DX59" s="1">
        <f t="shared" si="28"/>
        <v>0</v>
      </c>
      <c r="DY59" s="1">
        <f t="shared" si="28"/>
        <v>0</v>
      </c>
      <c r="DZ59" s="1">
        <f t="shared" si="28"/>
        <v>0</v>
      </c>
      <c r="EA59" s="1">
        <f t="shared" si="29"/>
        <v>0</v>
      </c>
      <c r="EB59" s="1">
        <f t="shared" si="29"/>
        <v>0</v>
      </c>
      <c r="EC59" s="1">
        <f t="shared" si="29"/>
        <v>0</v>
      </c>
      <c r="ED59" s="1">
        <f t="shared" si="29"/>
        <v>0</v>
      </c>
      <c r="EE59" s="9">
        <f t="shared" si="29"/>
        <v>0</v>
      </c>
      <c r="EF59" s="1">
        <f t="shared" si="29"/>
        <v>0</v>
      </c>
      <c r="EG59" s="1">
        <f t="shared" si="29"/>
        <v>0</v>
      </c>
      <c r="EH59" s="1">
        <f t="shared" si="29"/>
        <v>0</v>
      </c>
      <c r="EI59" s="1">
        <f t="shared" si="29"/>
        <v>0</v>
      </c>
      <c r="EJ59" s="1">
        <f t="shared" si="29"/>
        <v>0</v>
      </c>
      <c r="EK59" s="1">
        <f t="shared" si="30"/>
        <v>0</v>
      </c>
      <c r="EL59" s="1">
        <f t="shared" si="30"/>
        <v>0</v>
      </c>
      <c r="EM59" s="1">
        <f t="shared" si="30"/>
        <v>0</v>
      </c>
      <c r="EN59" s="1">
        <f t="shared" si="30"/>
        <v>0</v>
      </c>
      <c r="EO59" s="1">
        <f t="shared" si="30"/>
        <v>0</v>
      </c>
      <c r="EP59" s="1">
        <f t="shared" si="30"/>
        <v>0</v>
      </c>
      <c r="EQ59" s="1">
        <f t="shared" si="30"/>
        <v>0</v>
      </c>
      <c r="ER59" s="1">
        <f t="shared" si="30"/>
        <v>0</v>
      </c>
      <c r="ES59" s="1">
        <f t="shared" si="30"/>
        <v>0</v>
      </c>
      <c r="ET59" s="1">
        <f t="shared" si="30"/>
        <v>0</v>
      </c>
      <c r="EU59" s="1">
        <f t="shared" si="31"/>
        <v>0</v>
      </c>
      <c r="EV59" s="1">
        <f t="shared" si="31"/>
        <v>0</v>
      </c>
      <c r="EW59" s="1">
        <f t="shared" si="31"/>
        <v>0</v>
      </c>
      <c r="EX59" s="9">
        <f t="shared" si="31"/>
        <v>0</v>
      </c>
      <c r="EY59" s="1">
        <f t="shared" si="31"/>
        <v>0</v>
      </c>
      <c r="EZ59" s="1">
        <f t="shared" si="31"/>
        <v>0</v>
      </c>
      <c r="FA59" s="1">
        <f t="shared" si="31"/>
        <v>0</v>
      </c>
      <c r="FB59" s="1">
        <f t="shared" si="31"/>
        <v>0</v>
      </c>
      <c r="FC59" s="1">
        <f t="shared" si="31"/>
        <v>0</v>
      </c>
      <c r="FD59" s="1">
        <f t="shared" si="31"/>
        <v>0</v>
      </c>
      <c r="FE59" s="1">
        <f t="shared" si="32"/>
        <v>0</v>
      </c>
      <c r="FF59" s="1">
        <f t="shared" si="32"/>
        <v>0</v>
      </c>
      <c r="FG59" s="1">
        <f t="shared" si="32"/>
        <v>0</v>
      </c>
      <c r="FH59" s="1">
        <f t="shared" si="32"/>
        <v>0</v>
      </c>
      <c r="FI59" s="1">
        <f t="shared" si="32"/>
        <v>0</v>
      </c>
      <c r="FJ59" s="1">
        <f t="shared" si="32"/>
        <v>0</v>
      </c>
      <c r="FK59" s="1">
        <f t="shared" si="32"/>
        <v>0</v>
      </c>
      <c r="FL59" s="1">
        <f t="shared" si="32"/>
        <v>0</v>
      </c>
      <c r="FM59" s="1">
        <f t="shared" si="32"/>
        <v>0</v>
      </c>
      <c r="FN59" s="1">
        <f t="shared" si="32"/>
        <v>0</v>
      </c>
      <c r="FO59" s="1">
        <f t="shared" si="33"/>
        <v>0</v>
      </c>
      <c r="FP59" s="1">
        <f t="shared" si="33"/>
        <v>0</v>
      </c>
      <c r="FQ59" s="9">
        <f t="shared" si="33"/>
        <v>0</v>
      </c>
      <c r="FR59" s="1">
        <f t="shared" si="33"/>
        <v>0</v>
      </c>
      <c r="FS59" s="1">
        <f t="shared" si="33"/>
        <v>0</v>
      </c>
      <c r="FT59" s="1">
        <f t="shared" si="33"/>
        <v>0</v>
      </c>
      <c r="FU59" s="1">
        <f t="shared" si="33"/>
        <v>0</v>
      </c>
      <c r="FV59" s="1">
        <f t="shared" si="33"/>
        <v>0</v>
      </c>
      <c r="FW59" s="1">
        <f t="shared" si="33"/>
        <v>0</v>
      </c>
      <c r="FX59" s="1">
        <f t="shared" si="33"/>
        <v>0</v>
      </c>
      <c r="FY59" s="1">
        <f t="shared" si="34"/>
        <v>0</v>
      </c>
      <c r="FZ59" s="1">
        <f t="shared" si="34"/>
        <v>0</v>
      </c>
      <c r="GA59" s="1">
        <f t="shared" si="34"/>
        <v>0</v>
      </c>
      <c r="GB59" s="1">
        <f t="shared" si="34"/>
        <v>0</v>
      </c>
      <c r="GC59" s="1">
        <f t="shared" si="34"/>
        <v>0</v>
      </c>
      <c r="GD59" s="1">
        <f t="shared" si="34"/>
        <v>0</v>
      </c>
      <c r="GE59" s="1">
        <f t="shared" si="34"/>
        <v>0</v>
      </c>
      <c r="GF59" s="1">
        <f t="shared" si="34"/>
        <v>0</v>
      </c>
      <c r="GG59" s="1">
        <f t="shared" si="34"/>
        <v>0</v>
      </c>
      <c r="GH59" s="1">
        <f t="shared" si="34"/>
        <v>0</v>
      </c>
      <c r="GI59" s="1">
        <f t="shared" si="35"/>
        <v>0</v>
      </c>
      <c r="GJ59" s="9">
        <f t="shared" si="35"/>
        <v>0</v>
      </c>
      <c r="GK59" s="1">
        <f t="shared" si="35"/>
        <v>0</v>
      </c>
      <c r="GL59" s="1">
        <f t="shared" si="35"/>
        <v>0</v>
      </c>
      <c r="GM59" s="1">
        <f t="shared" si="35"/>
        <v>0</v>
      </c>
      <c r="GN59" s="1">
        <f t="shared" si="35"/>
        <v>0</v>
      </c>
      <c r="GO59" s="1">
        <f t="shared" si="35"/>
        <v>0</v>
      </c>
      <c r="GP59" s="1">
        <f t="shared" si="35"/>
        <v>0</v>
      </c>
      <c r="GQ59" s="1">
        <f t="shared" si="35"/>
        <v>0</v>
      </c>
      <c r="GR59" s="1">
        <f t="shared" si="35"/>
        <v>0</v>
      </c>
      <c r="GS59" s="1">
        <f t="shared" si="36"/>
        <v>0</v>
      </c>
      <c r="GT59" s="1">
        <f t="shared" si="36"/>
        <v>0</v>
      </c>
      <c r="GU59" s="1">
        <f t="shared" si="36"/>
        <v>0</v>
      </c>
      <c r="GV59" s="1">
        <f t="shared" si="36"/>
        <v>0</v>
      </c>
      <c r="GW59" s="1">
        <f t="shared" si="36"/>
        <v>0</v>
      </c>
      <c r="GX59" s="1">
        <f t="shared" si="36"/>
        <v>0</v>
      </c>
      <c r="GY59" s="1">
        <f t="shared" si="36"/>
        <v>0</v>
      </c>
      <c r="GZ59" s="1">
        <f t="shared" si="36"/>
        <v>0</v>
      </c>
      <c r="HA59" s="1">
        <f t="shared" si="36"/>
        <v>0</v>
      </c>
      <c r="HB59" s="1">
        <f t="shared" si="36"/>
        <v>0</v>
      </c>
      <c r="HC59" s="9">
        <f t="shared" si="37"/>
        <v>0</v>
      </c>
      <c r="HD59" s="1">
        <f t="shared" si="37"/>
        <v>0</v>
      </c>
      <c r="HE59" s="1">
        <f t="shared" si="37"/>
        <v>0</v>
      </c>
      <c r="HF59" s="1">
        <f t="shared" si="37"/>
        <v>0</v>
      </c>
      <c r="HG59" s="1">
        <f t="shared" si="37"/>
        <v>0</v>
      </c>
      <c r="HH59" s="1">
        <f t="shared" si="37"/>
        <v>0</v>
      </c>
      <c r="HI59" s="1">
        <f t="shared" si="37"/>
        <v>0</v>
      </c>
      <c r="HJ59" s="1">
        <f t="shared" si="37"/>
        <v>0</v>
      </c>
      <c r="HK59" s="1">
        <f t="shared" si="37"/>
        <v>0</v>
      </c>
      <c r="HL59" s="1">
        <f t="shared" si="37"/>
        <v>0</v>
      </c>
      <c r="HM59" s="1">
        <f t="shared" si="38"/>
        <v>0</v>
      </c>
      <c r="HN59" s="1">
        <f t="shared" si="38"/>
        <v>0</v>
      </c>
      <c r="HO59" s="1">
        <f t="shared" si="38"/>
        <v>0</v>
      </c>
      <c r="HP59" s="1">
        <f t="shared" si="38"/>
        <v>0</v>
      </c>
      <c r="HQ59" s="1">
        <f t="shared" si="38"/>
        <v>0</v>
      </c>
      <c r="HR59" s="1">
        <f t="shared" si="38"/>
        <v>0</v>
      </c>
      <c r="HS59" s="1">
        <f t="shared" si="38"/>
        <v>0</v>
      </c>
      <c r="HT59" s="1">
        <f t="shared" si="38"/>
        <v>0</v>
      </c>
      <c r="HU59" s="1">
        <f t="shared" si="38"/>
        <v>0</v>
      </c>
      <c r="HV59" s="9">
        <f t="shared" si="38"/>
        <v>0</v>
      </c>
      <c r="HW59" s="1"/>
      <c r="HX59" s="1"/>
      <c r="HY59" s="1">
        <v>774</v>
      </c>
      <c r="HZ59" s="1">
        <v>1697</v>
      </c>
      <c r="IA59" s="1">
        <v>1544</v>
      </c>
      <c r="IB59" s="1">
        <v>118</v>
      </c>
      <c r="IC59" s="1">
        <v>772</v>
      </c>
      <c r="ID59" s="1">
        <v>597</v>
      </c>
      <c r="IE59" s="1">
        <v>1091</v>
      </c>
      <c r="IF59" s="1">
        <v>1361</v>
      </c>
      <c r="IG59" s="1">
        <v>2164</v>
      </c>
      <c r="IH59" s="1">
        <v>835</v>
      </c>
      <c r="II59" s="1">
        <v>1196</v>
      </c>
      <c r="IJ59" s="1">
        <v>485</v>
      </c>
      <c r="IK59" s="1">
        <v>1983</v>
      </c>
      <c r="IL59" s="1">
        <v>348</v>
      </c>
      <c r="IM59" s="1">
        <v>159</v>
      </c>
      <c r="IN59" s="1">
        <v>624</v>
      </c>
      <c r="IO59" s="1">
        <v>15748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F46AA-A5DC-4CF2-B89F-37E8A5996A1F}">
  <sheetPr codeName="Sheet4"/>
  <dimension ref="A1:JH59"/>
  <sheetViews>
    <sheetView zoomScale="85" zoomScaleNormal="85" workbookViewId="0">
      <pane xSplit="2" ySplit="2" topLeftCell="U42" activePane="bottomRight" state="frozen"/>
      <selection activeCell="C1" sqref="C1:C4"/>
      <selection pane="topRight" activeCell="C1" sqref="C1:C4"/>
      <selection pane="bottomLeft" activeCell="C1" sqref="C1:C4"/>
      <selection pane="bottomRight" activeCell="BZ93" sqref="BZ93"/>
    </sheetView>
  </sheetViews>
  <sheetFormatPr defaultRowHeight="17.399999999999999" outlineLevelCol="1" x14ac:dyDescent="0.4"/>
  <cols>
    <col min="1" max="1" width="11.69921875" bestFit="1" customWidth="1"/>
    <col min="2" max="2" width="19.5" bestFit="1" customWidth="1"/>
    <col min="3" max="20" width="10.09765625" hidden="1" customWidth="1" outlineLevel="1"/>
    <col min="21" max="21" width="10.19921875" style="4" bestFit="1" customWidth="1" collapsed="1"/>
    <col min="22" max="39" width="10.09765625" hidden="1" customWidth="1" outlineLevel="1"/>
    <col min="40" max="40" width="10.19921875" style="4" bestFit="1" customWidth="1" collapsed="1"/>
    <col min="41" max="41" width="10.09765625" hidden="1" customWidth="1" outlineLevel="1"/>
    <col min="42" max="58" width="8.69921875" hidden="1" customWidth="1" outlineLevel="1"/>
    <col min="59" max="59" width="10" style="4" bestFit="1" customWidth="1" collapsed="1"/>
    <col min="60" max="77" width="10.09765625" hidden="1" customWidth="1" outlineLevel="1"/>
    <col min="78" max="78" width="10.09765625" style="4" bestFit="1" customWidth="1" collapsed="1"/>
    <col min="79" max="84" width="8.796875" hidden="1" customWidth="1" outlineLevel="1"/>
    <col min="85" max="85" width="8.796875" hidden="1" customWidth="1" outlineLevel="1" collapsed="1"/>
    <col min="86" max="96" width="8.796875" hidden="1" customWidth="1" outlineLevel="1"/>
    <col min="97" max="97" width="8.796875" style="4" hidden="1" customWidth="1" outlineLevel="1" collapsed="1"/>
    <col min="98" max="115" width="8.796875" hidden="1" customWidth="1" outlineLevel="1"/>
    <col min="116" max="116" width="8.69921875" style="4" collapsed="1"/>
    <col min="117" max="134" width="8.796875" hidden="1" customWidth="1" outlineLevel="1"/>
    <col min="135" max="135" width="8.69921875" style="4" collapsed="1"/>
    <col min="136" max="153" width="8.796875" hidden="1" customWidth="1" outlineLevel="1"/>
    <col min="154" max="154" width="8.69921875" style="4" collapsed="1"/>
    <col min="155" max="172" width="8.796875" hidden="1" customWidth="1" outlineLevel="1"/>
    <col min="173" max="173" width="8.69921875" style="4" collapsed="1"/>
    <col min="174" max="191" width="8.796875" hidden="1" customWidth="1" outlineLevel="1"/>
    <col min="192" max="192" width="8.69921875" style="4" collapsed="1"/>
    <col min="193" max="210" width="8.796875" hidden="1" customWidth="1" outlineLevel="1"/>
    <col min="211" max="211" width="8.69921875" style="4" collapsed="1"/>
    <col min="212" max="229" width="8.69921875" hidden="1" customWidth="1" outlineLevel="1"/>
    <col min="230" max="230" width="8.69921875" style="4" collapsed="1"/>
    <col min="231" max="248" width="10.09765625" hidden="1" customWidth="1" outlineLevel="1"/>
    <col min="249" max="249" width="10.09765625" bestFit="1" customWidth="1" collapsed="1"/>
    <col min="250" max="267" width="10.09765625" hidden="1" customWidth="1" outlineLevel="1"/>
    <col min="268" max="268" width="10.09765625" bestFit="1" customWidth="1" collapsed="1"/>
  </cols>
  <sheetData>
    <row r="1" spans="1:268" x14ac:dyDescent="0.4">
      <c r="C1" t="s">
        <v>72</v>
      </c>
      <c r="U1" s="4" t="s">
        <v>72</v>
      </c>
      <c r="V1" t="s">
        <v>73</v>
      </c>
      <c r="AN1" s="4" t="s">
        <v>73</v>
      </c>
      <c r="AO1" t="s">
        <v>71</v>
      </c>
      <c r="BG1" s="4" t="s">
        <v>71</v>
      </c>
      <c r="BH1" t="s">
        <v>74</v>
      </c>
      <c r="BZ1" s="4" t="s">
        <v>74</v>
      </c>
      <c r="CA1" t="s">
        <v>75</v>
      </c>
      <c r="CS1" s="4" t="s">
        <v>75</v>
      </c>
      <c r="CT1" t="s">
        <v>76</v>
      </c>
      <c r="DL1" s="4" t="s">
        <v>76</v>
      </c>
      <c r="DM1" t="s">
        <v>77</v>
      </c>
      <c r="EE1" s="4" t="s">
        <v>77</v>
      </c>
      <c r="EF1" t="s">
        <v>78</v>
      </c>
      <c r="EX1" s="4" t="s">
        <v>78</v>
      </c>
      <c r="EY1" t="s">
        <v>79</v>
      </c>
      <c r="FQ1" s="4" t="s">
        <v>79</v>
      </c>
      <c r="FR1" t="s">
        <v>80</v>
      </c>
      <c r="GJ1" s="4" t="s">
        <v>80</v>
      </c>
      <c r="GK1" t="s">
        <v>81</v>
      </c>
      <c r="HC1" s="4" t="s">
        <v>81</v>
      </c>
      <c r="HD1" t="s">
        <v>82</v>
      </c>
      <c r="HV1" s="4" t="s">
        <v>82</v>
      </c>
      <c r="HW1" t="s">
        <v>87</v>
      </c>
      <c r="IO1" s="4" t="s">
        <v>87</v>
      </c>
      <c r="IP1" t="s">
        <v>92</v>
      </c>
      <c r="JH1" t="s">
        <v>92</v>
      </c>
    </row>
    <row r="2" spans="1:268" x14ac:dyDescent="0.4">
      <c r="A2" t="s">
        <v>42</v>
      </c>
      <c r="B2" s="3" t="s">
        <v>70</v>
      </c>
      <c r="C2" t="s">
        <v>31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s="5" t="s">
        <v>85</v>
      </c>
      <c r="V2" t="s">
        <v>31</v>
      </c>
      <c r="W2" t="s">
        <v>52</v>
      </c>
      <c r="X2" t="s">
        <v>53</v>
      </c>
      <c r="Y2" t="s">
        <v>54</v>
      </c>
      <c r="Z2" t="s">
        <v>55</v>
      </c>
      <c r="AA2" t="s">
        <v>56</v>
      </c>
      <c r="AB2" t="s">
        <v>57</v>
      </c>
      <c r="AC2" t="s">
        <v>58</v>
      </c>
      <c r="AD2" t="s">
        <v>59</v>
      </c>
      <c r="AE2" t="s">
        <v>60</v>
      </c>
      <c r="AF2" t="s">
        <v>61</v>
      </c>
      <c r="AG2" t="s">
        <v>62</v>
      </c>
      <c r="AH2" t="s">
        <v>64</v>
      </c>
      <c r="AI2" t="s">
        <v>65</v>
      </c>
      <c r="AJ2" t="s">
        <v>66</v>
      </c>
      <c r="AK2" t="s">
        <v>67</v>
      </c>
      <c r="AL2" t="s">
        <v>68</v>
      </c>
      <c r="AM2" t="s">
        <v>69</v>
      </c>
      <c r="AN2" s="5" t="s">
        <v>85</v>
      </c>
      <c r="AO2" t="s">
        <v>31</v>
      </c>
      <c r="AP2" t="s">
        <v>52</v>
      </c>
      <c r="AQ2" t="s">
        <v>53</v>
      </c>
      <c r="AR2" t="s">
        <v>54</v>
      </c>
      <c r="AS2" t="s">
        <v>55</v>
      </c>
      <c r="AT2" t="s">
        <v>56</v>
      </c>
      <c r="AU2" t="s">
        <v>57</v>
      </c>
      <c r="AV2" t="s">
        <v>58</v>
      </c>
      <c r="AW2" t="s">
        <v>59</v>
      </c>
      <c r="AX2" t="s">
        <v>60</v>
      </c>
      <c r="AY2" t="s">
        <v>61</v>
      </c>
      <c r="AZ2" t="s">
        <v>62</v>
      </c>
      <c r="BA2" t="s">
        <v>64</v>
      </c>
      <c r="BB2" t="s">
        <v>65</v>
      </c>
      <c r="BC2" t="s">
        <v>66</v>
      </c>
      <c r="BD2" t="s">
        <v>67</v>
      </c>
      <c r="BE2" t="s">
        <v>68</v>
      </c>
      <c r="BF2" t="s">
        <v>69</v>
      </c>
      <c r="BG2" s="5" t="s">
        <v>85</v>
      </c>
      <c r="BH2" t="s">
        <v>31</v>
      </c>
      <c r="BI2" t="s">
        <v>52</v>
      </c>
      <c r="BJ2" t="s">
        <v>53</v>
      </c>
      <c r="BK2" t="s">
        <v>54</v>
      </c>
      <c r="BL2" t="s">
        <v>55</v>
      </c>
      <c r="BM2" t="s">
        <v>56</v>
      </c>
      <c r="BN2" t="s">
        <v>57</v>
      </c>
      <c r="BO2" t="s">
        <v>58</v>
      </c>
      <c r="BP2" t="s">
        <v>59</v>
      </c>
      <c r="BQ2" t="s">
        <v>60</v>
      </c>
      <c r="BR2" t="s">
        <v>61</v>
      </c>
      <c r="BS2" t="s">
        <v>62</v>
      </c>
      <c r="BT2" t="s">
        <v>64</v>
      </c>
      <c r="BU2" t="s">
        <v>65</v>
      </c>
      <c r="BV2" t="s">
        <v>66</v>
      </c>
      <c r="BW2" t="s">
        <v>67</v>
      </c>
      <c r="BX2" t="s">
        <v>68</v>
      </c>
      <c r="BY2" t="s">
        <v>69</v>
      </c>
      <c r="BZ2" s="5" t="s">
        <v>85</v>
      </c>
      <c r="CA2" t="s">
        <v>31</v>
      </c>
      <c r="CB2" t="s">
        <v>52</v>
      </c>
      <c r="CC2" t="s">
        <v>53</v>
      </c>
      <c r="CD2" t="s">
        <v>54</v>
      </c>
      <c r="CE2" t="s">
        <v>55</v>
      </c>
      <c r="CF2" t="s">
        <v>56</v>
      </c>
      <c r="CG2" t="s">
        <v>57</v>
      </c>
      <c r="CH2" t="s">
        <v>58</v>
      </c>
      <c r="CI2" t="s">
        <v>59</v>
      </c>
      <c r="CJ2" t="s">
        <v>60</v>
      </c>
      <c r="CK2" t="s">
        <v>61</v>
      </c>
      <c r="CL2" t="s">
        <v>62</v>
      </c>
      <c r="CM2" t="s">
        <v>64</v>
      </c>
      <c r="CN2" t="s">
        <v>65</v>
      </c>
      <c r="CO2" t="s">
        <v>66</v>
      </c>
      <c r="CP2" t="s">
        <v>67</v>
      </c>
      <c r="CQ2" t="s">
        <v>68</v>
      </c>
      <c r="CR2" t="s">
        <v>69</v>
      </c>
      <c r="CS2" s="5" t="s">
        <v>85</v>
      </c>
      <c r="CT2" t="s">
        <v>31</v>
      </c>
      <c r="CU2" t="s">
        <v>52</v>
      </c>
      <c r="CV2" t="s">
        <v>53</v>
      </c>
      <c r="CW2" t="s">
        <v>54</v>
      </c>
      <c r="CX2" t="s">
        <v>55</v>
      </c>
      <c r="CY2" t="s">
        <v>56</v>
      </c>
      <c r="CZ2" t="s">
        <v>57</v>
      </c>
      <c r="DA2" t="s">
        <v>58</v>
      </c>
      <c r="DB2" t="s">
        <v>59</v>
      </c>
      <c r="DC2" t="s">
        <v>60</v>
      </c>
      <c r="DD2" t="s">
        <v>61</v>
      </c>
      <c r="DE2" t="s">
        <v>62</v>
      </c>
      <c r="DF2" t="s">
        <v>64</v>
      </c>
      <c r="DG2" t="s">
        <v>65</v>
      </c>
      <c r="DH2" t="s">
        <v>66</v>
      </c>
      <c r="DI2" t="s">
        <v>67</v>
      </c>
      <c r="DJ2" t="s">
        <v>68</v>
      </c>
      <c r="DK2" t="s">
        <v>69</v>
      </c>
      <c r="DL2" s="5" t="s">
        <v>85</v>
      </c>
      <c r="DM2" t="s">
        <v>31</v>
      </c>
      <c r="DN2" t="s">
        <v>52</v>
      </c>
      <c r="DO2" t="s">
        <v>53</v>
      </c>
      <c r="DP2" t="s">
        <v>54</v>
      </c>
      <c r="DQ2" t="s">
        <v>55</v>
      </c>
      <c r="DR2" t="s">
        <v>56</v>
      </c>
      <c r="DS2" t="s">
        <v>57</v>
      </c>
      <c r="DT2" t="s">
        <v>58</v>
      </c>
      <c r="DU2" t="s">
        <v>59</v>
      </c>
      <c r="DV2" t="s">
        <v>60</v>
      </c>
      <c r="DW2" t="s">
        <v>61</v>
      </c>
      <c r="DX2" t="s">
        <v>62</v>
      </c>
      <c r="DY2" t="s">
        <v>64</v>
      </c>
      <c r="DZ2" t="s">
        <v>65</v>
      </c>
      <c r="EA2" t="s">
        <v>66</v>
      </c>
      <c r="EB2" t="s">
        <v>67</v>
      </c>
      <c r="EC2" t="s">
        <v>68</v>
      </c>
      <c r="ED2" t="s">
        <v>69</v>
      </c>
      <c r="EE2" s="5" t="s">
        <v>85</v>
      </c>
      <c r="EF2" t="s">
        <v>31</v>
      </c>
      <c r="EG2" t="s">
        <v>52</v>
      </c>
      <c r="EH2" t="s">
        <v>53</v>
      </c>
      <c r="EI2" t="s">
        <v>54</v>
      </c>
      <c r="EJ2" t="s">
        <v>55</v>
      </c>
      <c r="EK2" t="s">
        <v>56</v>
      </c>
      <c r="EL2" t="s">
        <v>57</v>
      </c>
      <c r="EM2" t="s">
        <v>58</v>
      </c>
      <c r="EN2" t="s">
        <v>59</v>
      </c>
      <c r="EO2" t="s">
        <v>60</v>
      </c>
      <c r="EP2" t="s">
        <v>61</v>
      </c>
      <c r="EQ2" t="s">
        <v>62</v>
      </c>
      <c r="ER2" t="s">
        <v>64</v>
      </c>
      <c r="ES2" t="s">
        <v>65</v>
      </c>
      <c r="ET2" t="s">
        <v>66</v>
      </c>
      <c r="EU2" t="s">
        <v>67</v>
      </c>
      <c r="EV2" t="s">
        <v>68</v>
      </c>
      <c r="EW2" t="s">
        <v>69</v>
      </c>
      <c r="EX2" s="5" t="s">
        <v>85</v>
      </c>
      <c r="EY2" t="s">
        <v>31</v>
      </c>
      <c r="EZ2" t="s">
        <v>52</v>
      </c>
      <c r="FA2" t="s">
        <v>53</v>
      </c>
      <c r="FB2" t="s">
        <v>54</v>
      </c>
      <c r="FC2" t="s">
        <v>55</v>
      </c>
      <c r="FD2" t="s">
        <v>56</v>
      </c>
      <c r="FE2" t="s">
        <v>57</v>
      </c>
      <c r="FF2" t="s">
        <v>58</v>
      </c>
      <c r="FG2" t="s">
        <v>59</v>
      </c>
      <c r="FH2" t="s">
        <v>60</v>
      </c>
      <c r="FI2" t="s">
        <v>61</v>
      </c>
      <c r="FJ2" t="s">
        <v>62</v>
      </c>
      <c r="FK2" t="s">
        <v>64</v>
      </c>
      <c r="FL2" t="s">
        <v>65</v>
      </c>
      <c r="FM2" t="s">
        <v>66</v>
      </c>
      <c r="FN2" t="s">
        <v>67</v>
      </c>
      <c r="FO2" t="s">
        <v>68</v>
      </c>
      <c r="FP2" t="s">
        <v>69</v>
      </c>
      <c r="FQ2" s="5" t="s">
        <v>85</v>
      </c>
      <c r="FR2" t="s">
        <v>31</v>
      </c>
      <c r="FS2" t="s">
        <v>52</v>
      </c>
      <c r="FT2" t="s">
        <v>53</v>
      </c>
      <c r="FU2" t="s">
        <v>54</v>
      </c>
      <c r="FV2" t="s">
        <v>55</v>
      </c>
      <c r="FW2" t="s">
        <v>56</v>
      </c>
      <c r="FX2" t="s">
        <v>57</v>
      </c>
      <c r="FY2" t="s">
        <v>58</v>
      </c>
      <c r="FZ2" t="s">
        <v>59</v>
      </c>
      <c r="GA2" t="s">
        <v>60</v>
      </c>
      <c r="GB2" t="s">
        <v>61</v>
      </c>
      <c r="GC2" t="s">
        <v>62</v>
      </c>
      <c r="GD2" t="s">
        <v>64</v>
      </c>
      <c r="GE2" t="s">
        <v>65</v>
      </c>
      <c r="GF2" t="s">
        <v>66</v>
      </c>
      <c r="GG2" t="s">
        <v>67</v>
      </c>
      <c r="GH2" t="s">
        <v>68</v>
      </c>
      <c r="GI2" t="s">
        <v>69</v>
      </c>
      <c r="GJ2" s="5" t="s">
        <v>85</v>
      </c>
      <c r="GK2" t="s">
        <v>31</v>
      </c>
      <c r="GL2" t="s">
        <v>52</v>
      </c>
      <c r="GM2" t="s">
        <v>53</v>
      </c>
      <c r="GN2" t="s">
        <v>54</v>
      </c>
      <c r="GO2" t="s">
        <v>55</v>
      </c>
      <c r="GP2" t="s">
        <v>56</v>
      </c>
      <c r="GQ2" t="s">
        <v>57</v>
      </c>
      <c r="GR2" t="s">
        <v>58</v>
      </c>
      <c r="GS2" t="s">
        <v>59</v>
      </c>
      <c r="GT2" t="s">
        <v>60</v>
      </c>
      <c r="GU2" t="s">
        <v>61</v>
      </c>
      <c r="GV2" t="s">
        <v>62</v>
      </c>
      <c r="GW2" t="s">
        <v>64</v>
      </c>
      <c r="GX2" t="s">
        <v>65</v>
      </c>
      <c r="GY2" t="s">
        <v>66</v>
      </c>
      <c r="GZ2" t="s">
        <v>67</v>
      </c>
      <c r="HA2" t="s">
        <v>68</v>
      </c>
      <c r="HB2" t="s">
        <v>69</v>
      </c>
      <c r="HC2" s="5" t="s">
        <v>85</v>
      </c>
      <c r="HD2" t="s">
        <v>31</v>
      </c>
      <c r="HE2" t="s">
        <v>52</v>
      </c>
      <c r="HF2" t="s">
        <v>53</v>
      </c>
      <c r="HG2" t="s">
        <v>54</v>
      </c>
      <c r="HH2" t="s">
        <v>55</v>
      </c>
      <c r="HI2" t="s">
        <v>56</v>
      </c>
      <c r="HJ2" t="s">
        <v>57</v>
      </c>
      <c r="HK2" t="s">
        <v>58</v>
      </c>
      <c r="HL2" t="s">
        <v>59</v>
      </c>
      <c r="HM2" t="s">
        <v>60</v>
      </c>
      <c r="HN2" t="s">
        <v>61</v>
      </c>
      <c r="HO2" t="s">
        <v>62</v>
      </c>
      <c r="HP2" t="s">
        <v>64</v>
      </c>
      <c r="HQ2" t="s">
        <v>65</v>
      </c>
      <c r="HR2" t="s">
        <v>66</v>
      </c>
      <c r="HS2" t="s">
        <v>67</v>
      </c>
      <c r="HT2" t="s">
        <v>68</v>
      </c>
      <c r="HU2" t="s">
        <v>69</v>
      </c>
      <c r="HV2" s="5" t="s">
        <v>85</v>
      </c>
      <c r="HW2" t="s">
        <v>31</v>
      </c>
      <c r="HX2" t="s">
        <v>52</v>
      </c>
      <c r="HY2" t="s">
        <v>53</v>
      </c>
      <c r="HZ2" t="s">
        <v>54</v>
      </c>
      <c r="IA2" t="s">
        <v>55</v>
      </c>
      <c r="IB2" t="s">
        <v>56</v>
      </c>
      <c r="IC2" t="s">
        <v>57</v>
      </c>
      <c r="ID2" t="s">
        <v>58</v>
      </c>
      <c r="IE2" t="s">
        <v>59</v>
      </c>
      <c r="IF2" t="s">
        <v>60</v>
      </c>
      <c r="IG2" t="s">
        <v>61</v>
      </c>
      <c r="IH2" t="s">
        <v>62</v>
      </c>
      <c r="II2" t="s">
        <v>64</v>
      </c>
      <c r="IJ2" t="s">
        <v>65</v>
      </c>
      <c r="IK2" t="s">
        <v>66</v>
      </c>
      <c r="IL2" t="s">
        <v>67</v>
      </c>
      <c r="IM2" t="s">
        <v>68</v>
      </c>
      <c r="IN2" t="s">
        <v>69</v>
      </c>
      <c r="IO2" s="5" t="s">
        <v>85</v>
      </c>
      <c r="IP2" t="s">
        <v>31</v>
      </c>
      <c r="IQ2" t="s">
        <v>52</v>
      </c>
      <c r="IR2" t="s">
        <v>53</v>
      </c>
      <c r="IS2" t="s">
        <v>54</v>
      </c>
      <c r="IT2" t="s">
        <v>55</v>
      </c>
      <c r="IU2" t="s">
        <v>56</v>
      </c>
      <c r="IV2" t="s">
        <v>57</v>
      </c>
      <c r="IW2" t="s">
        <v>58</v>
      </c>
      <c r="IX2" t="s">
        <v>59</v>
      </c>
      <c r="IY2" t="s">
        <v>60</v>
      </c>
      <c r="IZ2" t="s">
        <v>61</v>
      </c>
      <c r="JA2" t="s">
        <v>62</v>
      </c>
      <c r="JB2" t="s">
        <v>64</v>
      </c>
      <c r="JC2" t="s">
        <v>65</v>
      </c>
      <c r="JD2" t="s">
        <v>66</v>
      </c>
      <c r="JE2" t="s">
        <v>67</v>
      </c>
      <c r="JF2" t="s">
        <v>68</v>
      </c>
      <c r="JG2" t="s">
        <v>69</v>
      </c>
      <c r="JH2" s="5" t="s">
        <v>85</v>
      </c>
    </row>
    <row r="3" spans="1:268" s="6" customFormat="1" x14ac:dyDescent="0.4">
      <c r="A3" s="6" t="s">
        <v>49</v>
      </c>
      <c r="B3" s="6" t="s">
        <v>95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9"/>
      <c r="V3" s="7">
        <v>110000</v>
      </c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9">
        <v>110000</v>
      </c>
      <c r="AO3" s="7">
        <v>110000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9">
        <v>110000</v>
      </c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9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9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9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9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9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9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9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9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9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</row>
    <row r="4" spans="1:268" x14ac:dyDescent="0.4">
      <c r="A4" t="s">
        <v>49</v>
      </c>
      <c r="B4" t="s">
        <v>93</v>
      </c>
      <c r="C4" s="1"/>
      <c r="D4" s="1"/>
      <c r="E4" s="1"/>
      <c r="F4" s="1">
        <v>427000</v>
      </c>
      <c r="G4" s="1">
        <v>200230.76923076922</v>
      </c>
      <c r="H4" s="1">
        <v>161666.66666666666</v>
      </c>
      <c r="I4" s="1"/>
      <c r="J4" s="1"/>
      <c r="K4" s="1"/>
      <c r="L4" s="1"/>
      <c r="M4" s="1"/>
      <c r="N4" s="1">
        <v>138000</v>
      </c>
      <c r="O4" s="1"/>
      <c r="P4" s="1">
        <v>153766.14285714287</v>
      </c>
      <c r="Q4" s="1"/>
      <c r="R4" s="1"/>
      <c r="S4" s="1"/>
      <c r="T4" s="1"/>
      <c r="U4" s="9">
        <v>222365.33962264151</v>
      </c>
      <c r="V4" s="1"/>
      <c r="W4" s="1"/>
      <c r="X4" s="1"/>
      <c r="Y4" s="1">
        <v>190700</v>
      </c>
      <c r="Z4" s="1">
        <v>240832.94594594595</v>
      </c>
      <c r="AA4" s="1">
        <v>175100.88888888888</v>
      </c>
      <c r="AB4" s="1">
        <v>165000</v>
      </c>
      <c r="AC4" s="1"/>
      <c r="AD4" s="1"/>
      <c r="AE4" s="1"/>
      <c r="AF4" s="1"/>
      <c r="AG4" s="1">
        <v>136000</v>
      </c>
      <c r="AH4" s="1"/>
      <c r="AI4" s="1">
        <v>100000</v>
      </c>
      <c r="AJ4" s="1">
        <v>180000</v>
      </c>
      <c r="AK4" s="1">
        <v>70000</v>
      </c>
      <c r="AL4" s="1"/>
      <c r="AM4" s="1"/>
      <c r="AN4" s="9">
        <v>202389.4109589041</v>
      </c>
      <c r="AO4" s="1"/>
      <c r="AP4" s="1"/>
      <c r="AQ4" s="1"/>
      <c r="AR4" s="1">
        <v>222788</v>
      </c>
      <c r="AS4" s="1">
        <v>253733.33333333334</v>
      </c>
      <c r="AT4" s="1">
        <v>110649.28571428571</v>
      </c>
      <c r="AU4" s="1"/>
      <c r="AV4" s="1">
        <v>200000</v>
      </c>
      <c r="AW4" s="1"/>
      <c r="AX4" s="1">
        <v>107000</v>
      </c>
      <c r="AY4" s="1">
        <v>95000</v>
      </c>
      <c r="AZ4" s="1">
        <v>160785.07692307694</v>
      </c>
      <c r="BA4" s="1">
        <v>255000</v>
      </c>
      <c r="BB4" s="1"/>
      <c r="BC4" s="1"/>
      <c r="BD4" s="1"/>
      <c r="BE4" s="1"/>
      <c r="BF4" s="1"/>
      <c r="BG4" s="9">
        <v>180563.31343283583</v>
      </c>
      <c r="BH4" s="1"/>
      <c r="BI4" s="1"/>
      <c r="BJ4" s="1">
        <v>159615.38461538462</v>
      </c>
      <c r="BK4" s="1">
        <v>216072.8</v>
      </c>
      <c r="BL4" s="1">
        <v>231645.78947368421</v>
      </c>
      <c r="BM4" s="1">
        <v>107348.33333333333</v>
      </c>
      <c r="BN4" s="1"/>
      <c r="BO4" s="1">
        <v>181111.11111111112</v>
      </c>
      <c r="BP4" s="1"/>
      <c r="BQ4" s="1">
        <v>96666.666666666672</v>
      </c>
      <c r="BR4" s="1">
        <v>33000</v>
      </c>
      <c r="BS4" s="1">
        <v>129000</v>
      </c>
      <c r="BT4" s="1">
        <v>158000</v>
      </c>
      <c r="BU4" s="1"/>
      <c r="BV4" s="1"/>
      <c r="BW4" s="1"/>
      <c r="BX4" s="1"/>
      <c r="BY4" s="1">
        <v>90000</v>
      </c>
      <c r="BZ4" s="9">
        <v>162997.26732673266</v>
      </c>
      <c r="CA4" s="1"/>
      <c r="CB4" s="1"/>
      <c r="CC4" s="1">
        <v>145000</v>
      </c>
      <c r="CD4" s="1">
        <v>258312</v>
      </c>
      <c r="CE4" s="1">
        <v>101333.33333333333</v>
      </c>
      <c r="CF4" s="1">
        <v>94818</v>
      </c>
      <c r="CG4" s="1"/>
      <c r="CH4" s="1"/>
      <c r="CI4" s="1"/>
      <c r="CJ4" s="1">
        <v>109600</v>
      </c>
      <c r="CK4" s="1"/>
      <c r="CL4" s="1">
        <v>355000</v>
      </c>
      <c r="CM4" s="1"/>
      <c r="CN4" s="1">
        <v>180000</v>
      </c>
      <c r="CO4" s="1"/>
      <c r="CP4" s="1"/>
      <c r="CQ4" s="1"/>
      <c r="CR4" s="1"/>
      <c r="CS4" s="9">
        <v>137535.79104477612</v>
      </c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9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9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9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9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9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9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9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</row>
    <row r="5" spans="1:268" x14ac:dyDescent="0.4">
      <c r="A5" t="s">
        <v>49</v>
      </c>
      <c r="B5" t="s">
        <v>94</v>
      </c>
      <c r="C5" s="1"/>
      <c r="D5" s="1"/>
      <c r="E5" s="1"/>
      <c r="F5" s="1">
        <v>36819.57894736842</v>
      </c>
      <c r="G5" s="1">
        <v>27475</v>
      </c>
      <c r="H5" s="1">
        <v>57950</v>
      </c>
      <c r="I5" s="1">
        <v>34273</v>
      </c>
      <c r="J5" s="1">
        <v>43000</v>
      </c>
      <c r="K5" s="1"/>
      <c r="L5" s="1"/>
      <c r="M5" s="1">
        <v>87075</v>
      </c>
      <c r="N5" s="1"/>
      <c r="O5" s="1">
        <v>33000</v>
      </c>
      <c r="P5" s="1"/>
      <c r="Q5" s="1"/>
      <c r="R5" s="1"/>
      <c r="S5" s="1"/>
      <c r="T5" s="1">
        <v>30722.222222222223</v>
      </c>
      <c r="U5" s="9">
        <v>38917.072916666664</v>
      </c>
      <c r="V5" s="1"/>
      <c r="W5" s="1"/>
      <c r="X5" s="1"/>
      <c r="Y5" s="1">
        <v>114000</v>
      </c>
      <c r="Z5" s="1">
        <v>74700</v>
      </c>
      <c r="AA5" s="1"/>
      <c r="AB5" s="1"/>
      <c r="AC5" s="1"/>
      <c r="AD5" s="1"/>
      <c r="AE5" s="1">
        <v>20181.5</v>
      </c>
      <c r="AF5" s="1">
        <v>57116.666666666664</v>
      </c>
      <c r="AG5" s="1"/>
      <c r="AH5" s="1">
        <v>51750</v>
      </c>
      <c r="AI5" s="1"/>
      <c r="AJ5" s="1"/>
      <c r="AK5" s="1"/>
      <c r="AL5" s="1"/>
      <c r="AM5" s="1">
        <v>30000</v>
      </c>
      <c r="AN5" s="9">
        <v>55328.454545454544</v>
      </c>
      <c r="AO5" s="1"/>
      <c r="AP5" s="1"/>
      <c r="AQ5" s="1">
        <v>39772.800000000003</v>
      </c>
      <c r="AR5" s="1">
        <v>80280</v>
      </c>
      <c r="AS5" s="1">
        <v>51457.142857142855</v>
      </c>
      <c r="AT5" s="1"/>
      <c r="AU5" s="1"/>
      <c r="AV5" s="1">
        <v>34500</v>
      </c>
      <c r="AW5" s="1"/>
      <c r="AX5" s="1">
        <v>98700</v>
      </c>
      <c r="AY5" s="1">
        <v>53700</v>
      </c>
      <c r="AZ5" s="1"/>
      <c r="BA5" s="1">
        <v>30000</v>
      </c>
      <c r="BB5" s="1"/>
      <c r="BC5" s="1"/>
      <c r="BD5" s="1"/>
      <c r="BE5" s="1"/>
      <c r="BF5" s="1"/>
      <c r="BG5" s="9">
        <v>54795.612903225803</v>
      </c>
      <c r="BH5" s="1"/>
      <c r="BI5" s="1">
        <v>54000</v>
      </c>
      <c r="BJ5" s="1"/>
      <c r="BK5" s="1">
        <v>23785.714285714286</v>
      </c>
      <c r="BL5" s="1">
        <v>25621.428571428572</v>
      </c>
      <c r="BM5" s="1">
        <v>36000</v>
      </c>
      <c r="BN5" s="1"/>
      <c r="BO5" s="1">
        <v>34500</v>
      </c>
      <c r="BP5" s="1"/>
      <c r="BQ5" s="1"/>
      <c r="BR5" s="1"/>
      <c r="BS5" s="1">
        <v>15000</v>
      </c>
      <c r="BT5" s="1"/>
      <c r="BU5" s="1">
        <v>27000</v>
      </c>
      <c r="BV5" s="1"/>
      <c r="BW5" s="1"/>
      <c r="BX5" s="1"/>
      <c r="BY5" s="1">
        <v>18000</v>
      </c>
      <c r="BZ5" s="9">
        <v>22890.322580645163</v>
      </c>
      <c r="CA5" s="1"/>
      <c r="CB5" s="1">
        <v>54000</v>
      </c>
      <c r="CC5" s="1"/>
      <c r="CD5" s="1">
        <v>13956.714285714286</v>
      </c>
      <c r="CE5" s="1">
        <v>32626.666666666668</v>
      </c>
      <c r="CF5" s="1"/>
      <c r="CG5" s="1"/>
      <c r="CH5" s="1"/>
      <c r="CI5" s="1"/>
      <c r="CJ5" s="1">
        <v>22000</v>
      </c>
      <c r="CK5" s="1">
        <v>52739.666666666664</v>
      </c>
      <c r="CL5" s="1">
        <v>103400</v>
      </c>
      <c r="CM5" s="1">
        <v>14000</v>
      </c>
      <c r="CN5" s="1">
        <v>65800</v>
      </c>
      <c r="CO5" s="1"/>
      <c r="CP5" s="1"/>
      <c r="CQ5" s="1"/>
      <c r="CR5" s="1"/>
      <c r="CS5" s="9">
        <v>26508.225806451614</v>
      </c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9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9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9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9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9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9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9"/>
      <c r="HW5" s="1"/>
      <c r="HX5" s="1"/>
      <c r="HY5" s="1"/>
      <c r="HZ5" s="1">
        <v>124697</v>
      </c>
      <c r="IA5" s="1">
        <v>110000</v>
      </c>
      <c r="IB5" s="1">
        <v>91250</v>
      </c>
      <c r="IC5" s="1"/>
      <c r="ID5" s="1">
        <v>103939.33333333333</v>
      </c>
      <c r="IE5" s="1"/>
      <c r="IF5" s="1"/>
      <c r="IG5" s="1">
        <v>110000</v>
      </c>
      <c r="IH5" s="1">
        <v>177487.14285714287</v>
      </c>
      <c r="II5" s="1"/>
      <c r="IJ5" s="1">
        <v>107272.6</v>
      </c>
      <c r="IK5" s="1"/>
      <c r="IL5" s="1">
        <v>80000</v>
      </c>
      <c r="IM5" s="1"/>
      <c r="IN5" s="1">
        <v>85750</v>
      </c>
      <c r="IO5" s="1">
        <v>119118.77419354839</v>
      </c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</row>
    <row r="6" spans="1:268" s="6" customFormat="1" x14ac:dyDescent="0.4">
      <c r="A6" s="6" t="s">
        <v>49</v>
      </c>
      <c r="B6" s="6" t="s">
        <v>3</v>
      </c>
      <c r="C6" s="7">
        <v>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9">
        <v>0</v>
      </c>
      <c r="V6" s="7">
        <v>0</v>
      </c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9">
        <v>0</v>
      </c>
      <c r="AO6" s="7">
        <v>0</v>
      </c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9">
        <v>0</v>
      </c>
      <c r="BH6" s="7">
        <v>0</v>
      </c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9">
        <v>0</v>
      </c>
      <c r="CA6" s="7">
        <v>0</v>
      </c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9">
        <v>0</v>
      </c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9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9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9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9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9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9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9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</row>
    <row r="7" spans="1:268" x14ac:dyDescent="0.4">
      <c r="A7" t="s">
        <v>49</v>
      </c>
      <c r="B7" t="s">
        <v>2</v>
      </c>
      <c r="C7" s="1"/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9">
        <v>0</v>
      </c>
      <c r="V7" s="1"/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9">
        <v>0</v>
      </c>
      <c r="AO7" s="1"/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9">
        <v>0</v>
      </c>
      <c r="BH7" s="1"/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9">
        <v>0</v>
      </c>
      <c r="CA7" s="1"/>
      <c r="CB7" s="1"/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/>
      <c r="CS7" s="9">
        <v>0</v>
      </c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9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9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9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9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9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9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9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</row>
    <row r="8" spans="1:268" x14ac:dyDescent="0.4">
      <c r="A8" t="s">
        <v>49</v>
      </c>
      <c r="B8" t="s">
        <v>9</v>
      </c>
      <c r="C8" s="1"/>
      <c r="D8" s="1"/>
      <c r="E8" s="1">
        <v>0</v>
      </c>
      <c r="F8" s="1">
        <v>0</v>
      </c>
      <c r="G8" s="1">
        <v>12865.1797752809</v>
      </c>
      <c r="H8" s="1"/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/>
      <c r="T8" s="1">
        <v>0</v>
      </c>
      <c r="U8" s="9">
        <v>4053.100884955752</v>
      </c>
      <c r="V8" s="1"/>
      <c r="W8" s="1"/>
      <c r="X8" s="1">
        <v>0</v>
      </c>
      <c r="Y8" s="1">
        <v>0</v>
      </c>
      <c r="Z8" s="1">
        <v>15065.802631578947</v>
      </c>
      <c r="AA8" s="1"/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/>
      <c r="AL8" s="1"/>
      <c r="AM8" s="1">
        <v>0</v>
      </c>
      <c r="AN8" s="9">
        <v>5739.3533834586469</v>
      </c>
      <c r="AO8" s="1"/>
      <c r="AP8" s="1"/>
      <c r="AQ8" s="1">
        <v>0</v>
      </c>
      <c r="AR8" s="1">
        <v>0</v>
      </c>
      <c r="AS8" s="1">
        <v>0</v>
      </c>
      <c r="AT8" s="1"/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/>
      <c r="BE8" s="1">
        <v>0</v>
      </c>
      <c r="BF8" s="1">
        <v>0</v>
      </c>
      <c r="BG8" s="9">
        <v>0</v>
      </c>
      <c r="BH8" s="1"/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/>
      <c r="BV8" s="1">
        <v>0</v>
      </c>
      <c r="BW8" s="1"/>
      <c r="BX8" s="1">
        <v>0</v>
      </c>
      <c r="BY8" s="1">
        <v>0</v>
      </c>
      <c r="BZ8" s="9">
        <v>0</v>
      </c>
      <c r="CA8" s="1"/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9">
        <v>0</v>
      </c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9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9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9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9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9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9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9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</row>
    <row r="9" spans="1:268" s="6" customFormat="1" x14ac:dyDescent="0.4">
      <c r="A9" s="6" t="s">
        <v>49</v>
      </c>
      <c r="B9" s="6" t="s">
        <v>101</v>
      </c>
      <c r="C9" s="7">
        <v>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9">
        <v>0</v>
      </c>
      <c r="V9" s="7">
        <v>0</v>
      </c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9">
        <v>0</v>
      </c>
      <c r="AO9" s="7">
        <v>0</v>
      </c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9">
        <v>0</v>
      </c>
      <c r="BH9" s="7">
        <v>0</v>
      </c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9">
        <v>0</v>
      </c>
      <c r="CA9" s="7">
        <v>0</v>
      </c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9">
        <v>0</v>
      </c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9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9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9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9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9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9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9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</row>
    <row r="10" spans="1:268" x14ac:dyDescent="0.4">
      <c r="A10" t="s">
        <v>49</v>
      </c>
      <c r="B10" t="s">
        <v>99</v>
      </c>
      <c r="C10" s="1"/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/>
      <c r="S10" s="1">
        <v>0</v>
      </c>
      <c r="T10" s="1">
        <v>0</v>
      </c>
      <c r="U10" s="9">
        <v>0</v>
      </c>
      <c r="V10" s="1"/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/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/>
      <c r="AL10" s="1"/>
      <c r="AM10" s="1"/>
      <c r="AN10" s="9">
        <v>0</v>
      </c>
      <c r="AO10" s="1"/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/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/>
      <c r="BE10" s="1">
        <v>0</v>
      </c>
      <c r="BF10" s="1"/>
      <c r="BG10" s="9">
        <v>0</v>
      </c>
      <c r="BH10" s="1"/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/>
      <c r="BX10" s="1">
        <v>0</v>
      </c>
      <c r="BY10" s="1"/>
      <c r="BZ10" s="9">
        <v>0</v>
      </c>
      <c r="CA10" s="1"/>
      <c r="CB10" s="1"/>
      <c r="CC10" s="1">
        <v>0</v>
      </c>
      <c r="CD10" s="1">
        <v>0</v>
      </c>
      <c r="CE10" s="1">
        <v>0</v>
      </c>
      <c r="CF10" s="1">
        <v>0</v>
      </c>
      <c r="CG10" s="1"/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/>
      <c r="CN10" s="1">
        <v>0</v>
      </c>
      <c r="CO10" s="1">
        <v>0</v>
      </c>
      <c r="CP10" s="1">
        <v>0</v>
      </c>
      <c r="CQ10" s="1">
        <v>0</v>
      </c>
      <c r="CR10" s="1"/>
      <c r="CS10" s="9">
        <v>0</v>
      </c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9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9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9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9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9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9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9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</row>
    <row r="11" spans="1:268" x14ac:dyDescent="0.4">
      <c r="A11" t="s">
        <v>49</v>
      </c>
      <c r="B11" t="s">
        <v>100</v>
      </c>
      <c r="C11" s="1"/>
      <c r="D11" s="1"/>
      <c r="E11" s="1">
        <v>0</v>
      </c>
      <c r="F11" s="1">
        <v>0</v>
      </c>
      <c r="G11" s="1">
        <v>0</v>
      </c>
      <c r="H11" s="1">
        <v>0</v>
      </c>
      <c r="I11" s="1"/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/>
      <c r="T11" s="1"/>
      <c r="U11" s="9">
        <v>0</v>
      </c>
      <c r="V11" s="1"/>
      <c r="W11" s="1"/>
      <c r="X11" s="1"/>
      <c r="Y11" s="1">
        <v>0</v>
      </c>
      <c r="Z11" s="1">
        <v>0</v>
      </c>
      <c r="AA11" s="1"/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/>
      <c r="AM11" s="1">
        <v>0</v>
      </c>
      <c r="AN11" s="9">
        <v>0</v>
      </c>
      <c r="AO11" s="1"/>
      <c r="AP11" s="1"/>
      <c r="AQ11" s="1"/>
      <c r="AR11" s="1">
        <v>0</v>
      </c>
      <c r="AS11" s="1">
        <v>19741.396551724138</v>
      </c>
      <c r="AT11" s="1"/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/>
      <c r="BC11" s="1">
        <v>0</v>
      </c>
      <c r="BD11" s="1">
        <v>0</v>
      </c>
      <c r="BE11" s="1"/>
      <c r="BF11" s="1">
        <v>0</v>
      </c>
      <c r="BG11" s="9">
        <v>9786.3333333333339</v>
      </c>
      <c r="BH11" s="1"/>
      <c r="BI11" s="1">
        <v>0</v>
      </c>
      <c r="BJ11" s="1">
        <v>0</v>
      </c>
      <c r="BK11" s="1">
        <v>0</v>
      </c>
      <c r="BL11" s="1">
        <v>26022.75</v>
      </c>
      <c r="BM11" s="1"/>
      <c r="BN11" s="1">
        <v>0</v>
      </c>
      <c r="BO11" s="1"/>
      <c r="BP11" s="1">
        <v>0</v>
      </c>
      <c r="BQ11" s="1"/>
      <c r="BR11" s="1">
        <v>0</v>
      </c>
      <c r="BS11" s="1">
        <v>0</v>
      </c>
      <c r="BT11" s="1">
        <v>0</v>
      </c>
      <c r="BU11" s="1"/>
      <c r="BV11" s="1">
        <v>0</v>
      </c>
      <c r="BW11" s="1">
        <v>0</v>
      </c>
      <c r="BX11" s="1"/>
      <c r="BY11" s="1">
        <v>0</v>
      </c>
      <c r="BZ11" s="9">
        <v>10751.183098591549</v>
      </c>
      <c r="CA11" s="1"/>
      <c r="CB11" s="1">
        <v>0</v>
      </c>
      <c r="CC11" s="1">
        <v>0</v>
      </c>
      <c r="CD11" s="1">
        <v>0</v>
      </c>
      <c r="CE11" s="1">
        <v>50888.933333333334</v>
      </c>
      <c r="CF11" s="1"/>
      <c r="CG11" s="1"/>
      <c r="CH11" s="1"/>
      <c r="CI11" s="1">
        <v>0</v>
      </c>
      <c r="CJ11" s="1"/>
      <c r="CK11" s="1">
        <v>0</v>
      </c>
      <c r="CL11" s="1">
        <v>0</v>
      </c>
      <c r="CM11" s="1">
        <v>0</v>
      </c>
      <c r="CN11" s="1"/>
      <c r="CO11" s="1">
        <v>0</v>
      </c>
      <c r="CP11" s="1">
        <v>0</v>
      </c>
      <c r="CQ11" s="1"/>
      <c r="CR11" s="1">
        <v>0</v>
      </c>
      <c r="CS11" s="9">
        <v>13712.586826347306</v>
      </c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9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9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9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9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9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9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9"/>
      <c r="HW11" s="1"/>
      <c r="HX11" s="1"/>
      <c r="HY11" s="1"/>
      <c r="HZ11" s="1">
        <v>124697</v>
      </c>
      <c r="IA11" s="1">
        <v>110000</v>
      </c>
      <c r="IB11" s="1">
        <v>91250</v>
      </c>
      <c r="IC11" s="1"/>
      <c r="ID11" s="1">
        <v>103939.33333333333</v>
      </c>
      <c r="IE11" s="1"/>
      <c r="IF11" s="1"/>
      <c r="IG11" s="1">
        <v>110000</v>
      </c>
      <c r="IH11" s="1">
        <v>177487.14285714287</v>
      </c>
      <c r="II11" s="1"/>
      <c r="IJ11" s="1">
        <v>107272.6</v>
      </c>
      <c r="IK11" s="1"/>
      <c r="IL11" s="1">
        <v>80000</v>
      </c>
      <c r="IM11" s="1"/>
      <c r="IN11" s="1">
        <v>85750</v>
      </c>
      <c r="IO11" s="1">
        <v>119118.77419354839</v>
      </c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</row>
    <row r="12" spans="1:268" s="6" customFormat="1" x14ac:dyDescent="0.4">
      <c r="A12" s="6" t="s">
        <v>49</v>
      </c>
      <c r="B12" s="6" t="s">
        <v>96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9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9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9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9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9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9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9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9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9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9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9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9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</row>
    <row r="13" spans="1:268" x14ac:dyDescent="0.4">
      <c r="A13" t="s">
        <v>49</v>
      </c>
      <c r="B13" t="s">
        <v>97</v>
      </c>
      <c r="C13" s="1"/>
      <c r="D13" s="1"/>
      <c r="E13" s="1"/>
      <c r="F13" s="1">
        <v>550530.07692307688</v>
      </c>
      <c r="G13" s="1">
        <v>190000</v>
      </c>
      <c r="H13" s="1"/>
      <c r="I13" s="1"/>
      <c r="J13" s="1">
        <v>103939.33333333333</v>
      </c>
      <c r="K13" s="1"/>
      <c r="L13" s="1"/>
      <c r="M13" s="1"/>
      <c r="N13" s="1">
        <v>148102.5</v>
      </c>
      <c r="O13" s="1"/>
      <c r="P13" s="1"/>
      <c r="Q13" s="1"/>
      <c r="R13" s="1"/>
      <c r="S13" s="1"/>
      <c r="T13" s="1"/>
      <c r="U13" s="9">
        <v>392910.42857142858</v>
      </c>
      <c r="V13" s="1"/>
      <c r="W13" s="1"/>
      <c r="X13" s="1"/>
      <c r="Y13" s="1">
        <v>585990.91666666663</v>
      </c>
      <c r="Z13" s="1">
        <v>190000</v>
      </c>
      <c r="AA13" s="1"/>
      <c r="AB13" s="1"/>
      <c r="AC13" s="1">
        <v>103939.33333333333</v>
      </c>
      <c r="AD13" s="1"/>
      <c r="AE13" s="1"/>
      <c r="AF13" s="1"/>
      <c r="AG13" s="1">
        <v>148102.5</v>
      </c>
      <c r="AH13" s="1"/>
      <c r="AI13" s="1">
        <v>118181.5</v>
      </c>
      <c r="AJ13" s="1"/>
      <c r="AK13" s="1"/>
      <c r="AL13" s="1"/>
      <c r="AM13" s="1"/>
      <c r="AN13" s="9">
        <v>380112.81818181818</v>
      </c>
      <c r="AO13" s="1"/>
      <c r="AP13" s="1"/>
      <c r="AQ13" s="1"/>
      <c r="AR13" s="1">
        <v>585990.91666666663</v>
      </c>
      <c r="AS13" s="1">
        <v>185000</v>
      </c>
      <c r="AT13" s="1"/>
      <c r="AU13" s="1"/>
      <c r="AV13" s="1">
        <v>103939.33333333333</v>
      </c>
      <c r="AW13" s="1"/>
      <c r="AX13" s="1"/>
      <c r="AY13" s="1"/>
      <c r="AZ13" s="1">
        <v>140482</v>
      </c>
      <c r="BA13" s="1"/>
      <c r="BB13" s="1">
        <v>118181.5</v>
      </c>
      <c r="BC13" s="1"/>
      <c r="BD13" s="1"/>
      <c r="BE13" s="1"/>
      <c r="BF13" s="1"/>
      <c r="BG13" s="9">
        <v>360520.08333333331</v>
      </c>
      <c r="BH13" s="1"/>
      <c r="BI13" s="1"/>
      <c r="BJ13" s="1"/>
      <c r="BK13" s="1">
        <v>585990.91666666663</v>
      </c>
      <c r="BL13" s="1">
        <v>350000</v>
      </c>
      <c r="BM13" s="1"/>
      <c r="BN13" s="1"/>
      <c r="BO13" s="1">
        <v>103939.33333333333</v>
      </c>
      <c r="BP13" s="1"/>
      <c r="BQ13" s="1"/>
      <c r="BR13" s="1"/>
      <c r="BS13" s="1"/>
      <c r="BT13" s="1"/>
      <c r="BU13" s="1">
        <v>118181.5</v>
      </c>
      <c r="BV13" s="1"/>
      <c r="BW13" s="1"/>
      <c r="BX13" s="1"/>
      <c r="BY13" s="1"/>
      <c r="BZ13" s="9">
        <v>427622.47619047621</v>
      </c>
      <c r="CA13" s="1"/>
      <c r="CB13" s="1"/>
      <c r="CC13" s="1"/>
      <c r="CD13" s="1">
        <v>673280</v>
      </c>
      <c r="CE13" s="1">
        <v>350000</v>
      </c>
      <c r="CF13" s="1"/>
      <c r="CG13" s="1"/>
      <c r="CH13" s="1"/>
      <c r="CI13" s="1"/>
      <c r="CJ13" s="1"/>
      <c r="CK13" s="1"/>
      <c r="CL13" s="1">
        <v>180000</v>
      </c>
      <c r="CM13" s="1"/>
      <c r="CN13" s="1">
        <v>118181.5</v>
      </c>
      <c r="CO13" s="1"/>
      <c r="CP13" s="1"/>
      <c r="CQ13" s="1"/>
      <c r="CR13" s="1"/>
      <c r="CS13" s="9">
        <v>502891.9411764706</v>
      </c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9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9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9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9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9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9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9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</row>
    <row r="14" spans="1:268" x14ac:dyDescent="0.4">
      <c r="A14" t="s">
        <v>49</v>
      </c>
      <c r="B14" t="s">
        <v>98</v>
      </c>
      <c r="C14" s="1"/>
      <c r="D14" s="1"/>
      <c r="E14" s="1"/>
      <c r="F14" s="1">
        <v>45033.333333333336</v>
      </c>
      <c r="G14" s="1">
        <v>108100</v>
      </c>
      <c r="H14" s="1"/>
      <c r="I14" s="1">
        <v>85000</v>
      </c>
      <c r="J14" s="1">
        <v>17190.090909090908</v>
      </c>
      <c r="K14" s="1"/>
      <c r="L14" s="1"/>
      <c r="M14" s="1">
        <v>16000</v>
      </c>
      <c r="N14" s="1">
        <v>36300</v>
      </c>
      <c r="O14" s="1"/>
      <c r="P14" s="1"/>
      <c r="Q14" s="1"/>
      <c r="R14" s="1"/>
      <c r="S14" s="1"/>
      <c r="T14" s="1"/>
      <c r="U14" s="9">
        <v>27163.642857142859</v>
      </c>
      <c r="V14" s="1"/>
      <c r="W14" s="1"/>
      <c r="X14" s="1"/>
      <c r="Y14" s="1">
        <v>42754.090909090912</v>
      </c>
      <c r="Z14" s="1">
        <v>45366.666666666664</v>
      </c>
      <c r="AA14" s="1"/>
      <c r="AB14" s="1">
        <v>85000</v>
      </c>
      <c r="AC14" s="1">
        <v>17949.205882352941</v>
      </c>
      <c r="AD14" s="1"/>
      <c r="AE14" s="1"/>
      <c r="AF14" s="1">
        <v>71133.333333333328</v>
      </c>
      <c r="AG14" s="1">
        <v>36300</v>
      </c>
      <c r="AH14" s="1"/>
      <c r="AI14" s="1"/>
      <c r="AJ14" s="1"/>
      <c r="AK14" s="1"/>
      <c r="AL14" s="1"/>
      <c r="AM14" s="1">
        <v>20000</v>
      </c>
      <c r="AN14" s="9">
        <v>33562.284313725489</v>
      </c>
      <c r="AO14" s="1"/>
      <c r="AP14" s="1"/>
      <c r="AQ14" s="1"/>
      <c r="AR14" s="1">
        <v>42901.860465116282</v>
      </c>
      <c r="AS14" s="1">
        <v>45366.666666666664</v>
      </c>
      <c r="AT14" s="1"/>
      <c r="AU14" s="1">
        <v>85000</v>
      </c>
      <c r="AV14" s="1">
        <v>17949.205882352941</v>
      </c>
      <c r="AW14" s="1"/>
      <c r="AX14" s="1"/>
      <c r="AY14" s="1">
        <v>82437.5</v>
      </c>
      <c r="AZ14" s="1">
        <v>36300</v>
      </c>
      <c r="BA14" s="1"/>
      <c r="BB14" s="1"/>
      <c r="BC14" s="1"/>
      <c r="BD14" s="1"/>
      <c r="BE14" s="1"/>
      <c r="BF14" s="1"/>
      <c r="BG14" s="9">
        <v>36258.922222222223</v>
      </c>
      <c r="BH14" s="1"/>
      <c r="BI14" s="1"/>
      <c r="BJ14" s="1"/>
      <c r="BK14" s="1">
        <v>44517.727272727272</v>
      </c>
      <c r="BL14" s="1">
        <v>14000</v>
      </c>
      <c r="BM14" s="1"/>
      <c r="BN14" s="1">
        <v>70000</v>
      </c>
      <c r="BO14" s="1">
        <v>17949.205882352941</v>
      </c>
      <c r="BP14" s="1"/>
      <c r="BQ14" s="1"/>
      <c r="BR14" s="1">
        <v>69950</v>
      </c>
      <c r="BS14" s="1">
        <v>36300</v>
      </c>
      <c r="BT14" s="1"/>
      <c r="BU14" s="1"/>
      <c r="BV14" s="1"/>
      <c r="BW14" s="1"/>
      <c r="BX14" s="1"/>
      <c r="BY14" s="1"/>
      <c r="BZ14" s="9">
        <v>34619.134831460673</v>
      </c>
      <c r="CA14" s="1"/>
      <c r="CB14" s="1"/>
      <c r="CC14" s="1"/>
      <c r="CD14" s="1">
        <v>26600</v>
      </c>
      <c r="CE14" s="1"/>
      <c r="CF14" s="1"/>
      <c r="CG14" s="1"/>
      <c r="CH14" s="1"/>
      <c r="CI14" s="1"/>
      <c r="CJ14" s="1"/>
      <c r="CK14" s="1">
        <v>68175</v>
      </c>
      <c r="CL14" s="1"/>
      <c r="CM14" s="1"/>
      <c r="CN14" s="1"/>
      <c r="CO14" s="1"/>
      <c r="CP14" s="1"/>
      <c r="CQ14" s="1"/>
      <c r="CR14" s="1"/>
      <c r="CS14" s="9">
        <v>33529.166666666664</v>
      </c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9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9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9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9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9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9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9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</row>
    <row r="15" spans="1:268" s="6" customFormat="1" x14ac:dyDescent="0.4">
      <c r="A15" s="6" t="s">
        <v>49</v>
      </c>
      <c r="B15" s="6" t="s">
        <v>7</v>
      </c>
      <c r="C15" s="7">
        <v>101331.98733053583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9">
        <v>101331.98733053583</v>
      </c>
      <c r="V15" s="7">
        <v>101512.79170576093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9">
        <v>101512.79170576093</v>
      </c>
      <c r="AO15" s="7">
        <v>101539.78258541288</v>
      </c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9">
        <v>101539.78258541288</v>
      </c>
      <c r="BH15" s="7">
        <v>101730.27440137442</v>
      </c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9">
        <v>101730.27440137442</v>
      </c>
      <c r="CA15" s="7">
        <v>101930.58330197301</v>
      </c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9">
        <v>101930.58330197301</v>
      </c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9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9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9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9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9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9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9"/>
      <c r="HW15" s="7">
        <v>101293.74740066091</v>
      </c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>
        <v>101293.74740066091</v>
      </c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</row>
    <row r="16" spans="1:268" x14ac:dyDescent="0.4">
      <c r="A16" t="s">
        <v>49</v>
      </c>
      <c r="B16" t="s">
        <v>5</v>
      </c>
      <c r="C16" s="1">
        <v>204824.49050401754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9">
        <v>204824.49050401754</v>
      </c>
      <c r="V16" s="1">
        <v>206666.39760638299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9">
        <v>206666.39760638299</v>
      </c>
      <c r="AO16" s="1">
        <v>206662.84534334505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9">
        <v>206662.84534334505</v>
      </c>
      <c r="BH16" s="1">
        <v>207555.34665371067</v>
      </c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9">
        <v>207555.34665371067</v>
      </c>
      <c r="CA16" s="1">
        <v>208319.7939181003</v>
      </c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9">
        <v>208319.7939181003</v>
      </c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9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9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9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9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9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9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9"/>
      <c r="HW16" s="1">
        <v>205439.78145053881</v>
      </c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>
        <v>205439.78145053881</v>
      </c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</row>
    <row r="17" spans="1:268" x14ac:dyDescent="0.4">
      <c r="A17" t="s">
        <v>49</v>
      </c>
      <c r="B17" t="s">
        <v>6</v>
      </c>
      <c r="C17" s="1"/>
      <c r="D17" s="1">
        <v>224150.23884057972</v>
      </c>
      <c r="E17" s="1">
        <v>177445.94616362866</v>
      </c>
      <c r="F17" s="1">
        <v>197127.20746003551</v>
      </c>
      <c r="G17" s="1">
        <v>178874.60904449306</v>
      </c>
      <c r="H17" s="1">
        <v>112442.50957290133</v>
      </c>
      <c r="I17" s="1">
        <v>115288.67774343122</v>
      </c>
      <c r="J17" s="1">
        <v>126264.75973548861</v>
      </c>
      <c r="K17" s="1">
        <v>128270.37188434695</v>
      </c>
      <c r="L17" s="1">
        <v>116715.58004268943</v>
      </c>
      <c r="M17" s="1">
        <v>145000.09035656403</v>
      </c>
      <c r="N17" s="1">
        <v>145977.49153140438</v>
      </c>
      <c r="O17" s="1">
        <v>152138.43242122719</v>
      </c>
      <c r="P17" s="1">
        <v>114937.91933240612</v>
      </c>
      <c r="Q17" s="1">
        <v>229969.79987088445</v>
      </c>
      <c r="R17" s="1">
        <v>97091.48250460405</v>
      </c>
      <c r="S17" s="1">
        <v>100480.96267837541</v>
      </c>
      <c r="T17" s="1">
        <v>102893.4033444816</v>
      </c>
      <c r="U17" s="9">
        <v>144373.29303191087</v>
      </c>
      <c r="V17" s="1"/>
      <c r="W17" s="1">
        <v>224245.8033545402</v>
      </c>
      <c r="X17" s="1">
        <v>179358.97346251053</v>
      </c>
      <c r="Y17" s="1">
        <v>198441.33796791444</v>
      </c>
      <c r="Z17" s="1">
        <v>179936.77885652642</v>
      </c>
      <c r="AA17" s="1">
        <v>113319.77043181263</v>
      </c>
      <c r="AB17" s="1">
        <v>117178.37955073586</v>
      </c>
      <c r="AC17" s="1">
        <v>126986.73164464024</v>
      </c>
      <c r="AD17" s="1">
        <v>130994.77366666666</v>
      </c>
      <c r="AE17" s="1">
        <v>117524.9304</v>
      </c>
      <c r="AF17" s="1">
        <v>147625.62961460446</v>
      </c>
      <c r="AG17" s="1">
        <v>147109.8156876539</v>
      </c>
      <c r="AH17" s="1">
        <v>156801.64031456952</v>
      </c>
      <c r="AI17" s="1">
        <v>116620.82418346073</v>
      </c>
      <c r="AJ17" s="1">
        <v>230132.07372400755</v>
      </c>
      <c r="AK17" s="1">
        <v>98199.684018264845</v>
      </c>
      <c r="AL17" s="1">
        <v>101379.69693654266</v>
      </c>
      <c r="AM17" s="1">
        <v>105271.72214941023</v>
      </c>
      <c r="AN17" s="9">
        <v>145952.07317256404</v>
      </c>
      <c r="AO17" s="1"/>
      <c r="AP17" s="1">
        <v>221785.75013698629</v>
      </c>
      <c r="AQ17" s="1">
        <v>178921.8026094276</v>
      </c>
      <c r="AR17" s="1">
        <v>198505.99575221239</v>
      </c>
      <c r="AS17" s="1">
        <v>179615.32198581559</v>
      </c>
      <c r="AT17" s="1">
        <v>113525.97825555826</v>
      </c>
      <c r="AU17" s="1">
        <v>116983.71841704719</v>
      </c>
      <c r="AV17" s="1">
        <v>125628.5169586284</v>
      </c>
      <c r="AW17" s="1">
        <v>131346.99933020765</v>
      </c>
      <c r="AX17" s="1">
        <v>117775.2017098584</v>
      </c>
      <c r="AY17" s="1">
        <v>149759.32844109481</v>
      </c>
      <c r="AZ17" s="1">
        <v>148161.00618181817</v>
      </c>
      <c r="BA17" s="1">
        <v>155979.41585365855</v>
      </c>
      <c r="BB17" s="1">
        <v>116440.6882312457</v>
      </c>
      <c r="BC17" s="1">
        <v>233356.12884978001</v>
      </c>
      <c r="BD17" s="1">
        <v>98183.865481076151</v>
      </c>
      <c r="BE17" s="1">
        <v>100915.83563096501</v>
      </c>
      <c r="BF17" s="1">
        <v>105296.76762402088</v>
      </c>
      <c r="BG17" s="9">
        <v>146269.94926199262</v>
      </c>
      <c r="BH17" s="1"/>
      <c r="BI17" s="1">
        <v>224375.70019821604</v>
      </c>
      <c r="BJ17" s="1">
        <v>179634.7204072974</v>
      </c>
      <c r="BK17" s="1">
        <v>198558.2855128657</v>
      </c>
      <c r="BL17" s="1">
        <v>180085.04694669961</v>
      </c>
      <c r="BM17" s="1">
        <v>113677.681640625</v>
      </c>
      <c r="BN17" s="1">
        <v>117218.23480243162</v>
      </c>
      <c r="BO17" s="1">
        <v>125784.78755124861</v>
      </c>
      <c r="BP17" s="1">
        <v>131244.87228351721</v>
      </c>
      <c r="BQ17" s="1">
        <v>117962.34938469769</v>
      </c>
      <c r="BR17" s="1">
        <v>149753.29261693082</v>
      </c>
      <c r="BS17" s="1">
        <v>147304.39387464387</v>
      </c>
      <c r="BT17" s="1">
        <v>156147.19377022653</v>
      </c>
      <c r="BU17" s="1">
        <v>116588.95352016404</v>
      </c>
      <c r="BV17" s="1">
        <v>227197.01154891305</v>
      </c>
      <c r="BW17" s="1">
        <v>98403.402099497951</v>
      </c>
      <c r="BX17" s="1">
        <v>101628.25448785639</v>
      </c>
      <c r="BY17" s="1">
        <v>105221.79948420374</v>
      </c>
      <c r="BZ17" s="9">
        <v>146373.26722001983</v>
      </c>
      <c r="CA17" s="1"/>
      <c r="CB17" s="1">
        <v>224196.71640265713</v>
      </c>
      <c r="CC17" s="1">
        <v>179867.51575809199</v>
      </c>
      <c r="CD17" s="1">
        <v>198901.85370173573</v>
      </c>
      <c r="CE17" s="1">
        <v>180309.42706131079</v>
      </c>
      <c r="CF17" s="1">
        <v>114022.21060311284</v>
      </c>
      <c r="CG17" s="1">
        <v>117669.36363636363</v>
      </c>
      <c r="CH17" s="1">
        <v>126127.09077325364</v>
      </c>
      <c r="CI17" s="1">
        <v>131860.52140468228</v>
      </c>
      <c r="CJ17" s="1">
        <v>118082.31283856988</v>
      </c>
      <c r="CK17" s="1">
        <v>156314.89787395595</v>
      </c>
      <c r="CL17" s="1">
        <v>147533.26156583629</v>
      </c>
      <c r="CM17" s="1">
        <v>157834.70879345603</v>
      </c>
      <c r="CN17" s="1">
        <v>118000.06394557824</v>
      </c>
      <c r="CO17" s="1">
        <v>226167.33668005356</v>
      </c>
      <c r="CP17" s="1">
        <v>98852.442870201092</v>
      </c>
      <c r="CQ17" s="1">
        <v>102129.12286324786</v>
      </c>
      <c r="CR17" s="1">
        <v>104582.88854489164</v>
      </c>
      <c r="CS17" s="9">
        <v>146992.88085676037</v>
      </c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9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9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9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9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9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9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9"/>
      <c r="HW17" s="1"/>
      <c r="HX17" s="1">
        <v>222700.52206736352</v>
      </c>
      <c r="HY17" s="1">
        <v>176703.52509489667</v>
      </c>
      <c r="HZ17" s="1">
        <v>196161.72320461928</v>
      </c>
      <c r="IA17" s="1">
        <v>173806.70300751881</v>
      </c>
      <c r="IB17" s="1">
        <v>112192.18004012037</v>
      </c>
      <c r="IC17" s="1">
        <v>115509.23132530121</v>
      </c>
      <c r="ID17" s="1">
        <v>125965.07430453879</v>
      </c>
      <c r="IE17" s="1">
        <v>128710.10955710955</v>
      </c>
      <c r="IF17" s="1">
        <v>116527.12720848057</v>
      </c>
      <c r="IG17" s="1">
        <v>144936.9599662874</v>
      </c>
      <c r="IH17" s="1">
        <v>144918.48315005322</v>
      </c>
      <c r="II17" s="1">
        <v>152663.11087689715</v>
      </c>
      <c r="IJ17" s="1">
        <v>114202.68509447166</v>
      </c>
      <c r="IK17" s="1">
        <v>227410.80209059233</v>
      </c>
      <c r="IL17" s="1">
        <v>96681.303587856484</v>
      </c>
      <c r="IM17" s="1">
        <v>100386.98806941432</v>
      </c>
      <c r="IN17" s="1">
        <v>102904.26707234618</v>
      </c>
      <c r="IO17" s="1">
        <v>143410.86146423648</v>
      </c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</row>
    <row r="18" spans="1:268" x14ac:dyDescent="0.4">
      <c r="A18" t="s">
        <v>49</v>
      </c>
      <c r="B18" t="s">
        <v>4</v>
      </c>
      <c r="C18" s="1"/>
      <c r="D18" s="1">
        <v>459228.21428571426</v>
      </c>
      <c r="E18" s="1">
        <v>254852.14636542241</v>
      </c>
      <c r="F18" s="1">
        <v>248944.42168237854</v>
      </c>
      <c r="G18" s="1">
        <v>255273.68259072118</v>
      </c>
      <c r="H18" s="1">
        <v>229673.53200332503</v>
      </c>
      <c r="I18" s="1">
        <v>199996.74688796682</v>
      </c>
      <c r="J18" s="1">
        <v>239022.02319044273</v>
      </c>
      <c r="K18" s="1">
        <v>257132.15919701214</v>
      </c>
      <c r="L18" s="1">
        <v>259291.55172413794</v>
      </c>
      <c r="M18" s="1">
        <v>308650.49789251841</v>
      </c>
      <c r="N18" s="1">
        <v>237852.8299904489</v>
      </c>
      <c r="O18" s="1">
        <v>226019.54051477599</v>
      </c>
      <c r="P18" s="1">
        <v>209593.64774193548</v>
      </c>
      <c r="Q18" s="1">
        <v>286643.22630457935</v>
      </c>
      <c r="R18" s="1">
        <v>193355.85635359117</v>
      </c>
      <c r="S18" s="1">
        <v>177982.85862516213</v>
      </c>
      <c r="T18" s="1">
        <v>249375.06159420291</v>
      </c>
      <c r="U18" s="9">
        <v>254775.0593912398</v>
      </c>
      <c r="V18" s="1"/>
      <c r="W18" s="1">
        <v>460357.24654377881</v>
      </c>
      <c r="X18" s="1">
        <v>258825.29803921568</v>
      </c>
      <c r="Y18" s="1">
        <v>253220.64028776978</v>
      </c>
      <c r="Z18" s="1">
        <v>258251.67203311867</v>
      </c>
      <c r="AA18" s="1">
        <v>231264.48046550291</v>
      </c>
      <c r="AB18" s="1">
        <v>202948.74576271186</v>
      </c>
      <c r="AC18" s="1">
        <v>242154.20448179272</v>
      </c>
      <c r="AD18" s="1">
        <v>260686.06279069767</v>
      </c>
      <c r="AE18" s="1">
        <v>261312.11506524318</v>
      </c>
      <c r="AF18" s="1">
        <v>302981.62197686645</v>
      </c>
      <c r="AG18" s="1">
        <v>244386.84380952382</v>
      </c>
      <c r="AH18" s="1">
        <v>229624.95009596928</v>
      </c>
      <c r="AI18" s="1">
        <v>208528.11936662605</v>
      </c>
      <c r="AJ18" s="1">
        <v>292412.76160990715</v>
      </c>
      <c r="AK18" s="1">
        <v>195773.23351648351</v>
      </c>
      <c r="AL18" s="1">
        <v>180200.61647361648</v>
      </c>
      <c r="AM18" s="1">
        <v>251789.00719424459</v>
      </c>
      <c r="AN18" s="9">
        <v>257423.95487647492</v>
      </c>
      <c r="AO18" s="1"/>
      <c r="AP18" s="1">
        <v>461510.58447488584</v>
      </c>
      <c r="AQ18" s="1">
        <v>263332.87869966036</v>
      </c>
      <c r="AR18" s="1">
        <v>254563.65295169948</v>
      </c>
      <c r="AS18" s="1">
        <v>260102.10257568912</v>
      </c>
      <c r="AT18" s="1">
        <v>231591.79867986799</v>
      </c>
      <c r="AU18" s="1">
        <v>204641.08016032065</v>
      </c>
      <c r="AV18" s="1">
        <v>241428.43232323232</v>
      </c>
      <c r="AW18" s="1">
        <v>264049.67873510538</v>
      </c>
      <c r="AX18" s="1">
        <v>263053.19098457886</v>
      </c>
      <c r="AY18" s="1">
        <v>304045.7409353652</v>
      </c>
      <c r="AZ18" s="1">
        <v>246248.44866920152</v>
      </c>
      <c r="BA18" s="1">
        <v>229797.11068334937</v>
      </c>
      <c r="BB18" s="1">
        <v>209606.5275</v>
      </c>
      <c r="BC18" s="1">
        <v>292452.18804292282</v>
      </c>
      <c r="BD18" s="1">
        <v>196914.06557377049</v>
      </c>
      <c r="BE18" s="1">
        <v>180056.62846347608</v>
      </c>
      <c r="BF18" s="1">
        <v>251980.30935251797</v>
      </c>
      <c r="BG18" s="9">
        <v>258827.8726103025</v>
      </c>
      <c r="BH18" s="1"/>
      <c r="BI18" s="1">
        <v>453206.89298892987</v>
      </c>
      <c r="BJ18" s="1">
        <v>264155.72970345162</v>
      </c>
      <c r="BK18" s="1">
        <v>254885.35412186381</v>
      </c>
      <c r="BL18" s="1">
        <v>260227.02713704205</v>
      </c>
      <c r="BM18" s="1">
        <v>231559.88477366255</v>
      </c>
      <c r="BN18" s="1">
        <v>204976.70800000001</v>
      </c>
      <c r="BO18" s="1">
        <v>242440.40447154472</v>
      </c>
      <c r="BP18" s="1">
        <v>265777.43122171948</v>
      </c>
      <c r="BQ18" s="1">
        <v>260637.78040141676</v>
      </c>
      <c r="BR18" s="1">
        <v>307244.7686645636</v>
      </c>
      <c r="BS18" s="1">
        <v>260725.78301015697</v>
      </c>
      <c r="BT18" s="1">
        <v>231268.31870229007</v>
      </c>
      <c r="BU18" s="1">
        <v>209086.16196319018</v>
      </c>
      <c r="BV18" s="1">
        <v>289638.04688332445</v>
      </c>
      <c r="BW18" s="1">
        <v>196910.82384823848</v>
      </c>
      <c r="BX18" s="1">
        <v>180240.75682382134</v>
      </c>
      <c r="BY18" s="1">
        <v>252155.25899280576</v>
      </c>
      <c r="BZ18" s="9">
        <v>260442.4976845546</v>
      </c>
      <c r="CA18" s="1"/>
      <c r="CB18" s="1">
        <v>464112.16935483873</v>
      </c>
      <c r="CC18" s="1">
        <v>265192.99224806204</v>
      </c>
      <c r="CD18" s="1">
        <v>255260.80602366439</v>
      </c>
      <c r="CE18" s="1">
        <v>260294.73688969258</v>
      </c>
      <c r="CF18" s="1">
        <v>233076.19281045752</v>
      </c>
      <c r="CG18" s="1">
        <v>205306.39243027888</v>
      </c>
      <c r="CH18" s="1">
        <v>242441.39148073024</v>
      </c>
      <c r="CI18" s="1">
        <v>267963.7752808989</v>
      </c>
      <c r="CJ18" s="1">
        <v>261075.3836104513</v>
      </c>
      <c r="CK18" s="1">
        <v>306192.46246719162</v>
      </c>
      <c r="CL18" s="1">
        <v>261283.09250693803</v>
      </c>
      <c r="CM18" s="1">
        <v>232703.99809523809</v>
      </c>
      <c r="CN18" s="1">
        <v>209113.90731707317</v>
      </c>
      <c r="CO18" s="1">
        <v>289759.38912579959</v>
      </c>
      <c r="CP18" s="1">
        <v>197053.08378378378</v>
      </c>
      <c r="CQ18" s="1">
        <v>180675.2837670384</v>
      </c>
      <c r="CR18" s="1">
        <v>253258.64516129033</v>
      </c>
      <c r="CS18" s="9">
        <v>260784.51092139323</v>
      </c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9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9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9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9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9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9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9"/>
      <c r="HW18" s="1"/>
      <c r="HX18" s="1">
        <v>458790.42626728112</v>
      </c>
      <c r="HY18" s="1">
        <v>254415.01473477407</v>
      </c>
      <c r="HZ18" s="1">
        <v>248536.42649199418</v>
      </c>
      <c r="IA18" s="1">
        <v>255240.17266851338</v>
      </c>
      <c r="IB18" s="1">
        <v>221766.73859649122</v>
      </c>
      <c r="IC18" s="1">
        <v>200402.64102564103</v>
      </c>
      <c r="ID18" s="1">
        <v>238063.24031563845</v>
      </c>
      <c r="IE18" s="1">
        <v>255429.21226641111</v>
      </c>
      <c r="IF18" s="1">
        <v>257697.94578313254</v>
      </c>
      <c r="IG18" s="1">
        <v>307981.23604465713</v>
      </c>
      <c r="IH18" s="1">
        <v>232029.27669902911</v>
      </c>
      <c r="II18" s="1">
        <v>225962.34318398475</v>
      </c>
      <c r="IJ18" s="1">
        <v>206898.66970091028</v>
      </c>
      <c r="IK18" s="1">
        <v>277159.64602272725</v>
      </c>
      <c r="IL18" s="1">
        <v>194042.50677506774</v>
      </c>
      <c r="IM18" s="1">
        <v>178138.77704485488</v>
      </c>
      <c r="IN18" s="1">
        <v>245721.7536764706</v>
      </c>
      <c r="IO18" s="1">
        <v>252657.99971686094</v>
      </c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</row>
    <row r="19" spans="1:268" x14ac:dyDescent="0.4">
      <c r="A19" t="s">
        <v>49</v>
      </c>
      <c r="B19" t="s">
        <v>46</v>
      </c>
      <c r="C19" s="1"/>
      <c r="D19" s="1">
        <v>135352.9411764706</v>
      </c>
      <c r="E19" s="1">
        <v>34078.774129634869</v>
      </c>
      <c r="F19" s="1">
        <v>21069.471635610767</v>
      </c>
      <c r="G19" s="1">
        <v>21309.100548446069</v>
      </c>
      <c r="H19" s="1">
        <v>27055.003773584907</v>
      </c>
      <c r="I19" s="1">
        <v>24896.59291825095</v>
      </c>
      <c r="J19" s="1">
        <v>22371.115947764149</v>
      </c>
      <c r="K19" s="1">
        <v>26033.528046093881</v>
      </c>
      <c r="L19" s="1">
        <v>22161.222618199095</v>
      </c>
      <c r="M19" s="1">
        <v>23696.64922307555</v>
      </c>
      <c r="N19" s="1">
        <v>26079.627150039694</v>
      </c>
      <c r="O19" s="1">
        <v>28264.891591750398</v>
      </c>
      <c r="P19" s="1">
        <v>26984.627737226278</v>
      </c>
      <c r="Q19" s="1">
        <v>22758.269816524764</v>
      </c>
      <c r="R19" s="1">
        <v>19616.954496208018</v>
      </c>
      <c r="S19" s="1">
        <v>21851.983271375466</v>
      </c>
      <c r="T19" s="1">
        <v>20409.394096812277</v>
      </c>
      <c r="U19" s="9">
        <v>24137.221944506851</v>
      </c>
      <c r="V19" s="1"/>
      <c r="W19" s="1">
        <v>135352.9411764706</v>
      </c>
      <c r="X19" s="1">
        <v>33890.340624999997</v>
      </c>
      <c r="Y19" s="1">
        <v>21631.594236547393</v>
      </c>
      <c r="Z19" s="1">
        <v>22334.474807081253</v>
      </c>
      <c r="AA19" s="1">
        <v>27459.343396226413</v>
      </c>
      <c r="AB19" s="1">
        <v>26467.828584995252</v>
      </c>
      <c r="AC19" s="1">
        <v>23242.340976477564</v>
      </c>
      <c r="AD19" s="1">
        <v>27776.311708058794</v>
      </c>
      <c r="AE19" s="1">
        <v>23266.11470379986</v>
      </c>
      <c r="AF19" s="1">
        <v>26400.935472370766</v>
      </c>
      <c r="AG19" s="1">
        <v>27319.346784691486</v>
      </c>
      <c r="AH19" s="1">
        <v>29938.762586115528</v>
      </c>
      <c r="AI19" s="1">
        <v>29038.221574344025</v>
      </c>
      <c r="AJ19" s="1">
        <v>23454.520100804031</v>
      </c>
      <c r="AK19" s="1">
        <v>20795.551521623063</v>
      </c>
      <c r="AL19" s="1">
        <v>25142.924214417744</v>
      </c>
      <c r="AM19" s="1">
        <v>21446.656821378339</v>
      </c>
      <c r="AN19" s="9">
        <v>25350.964193300231</v>
      </c>
      <c r="AO19" s="1"/>
      <c r="AP19" s="1">
        <v>135352.9411764706</v>
      </c>
      <c r="AQ19" s="1">
        <v>34342.222689075628</v>
      </c>
      <c r="AR19" s="1">
        <v>21606.432053376906</v>
      </c>
      <c r="AS19" s="1">
        <v>22404.614952718675</v>
      </c>
      <c r="AT19" s="1">
        <v>27420.971537001897</v>
      </c>
      <c r="AU19" s="1">
        <v>26377.779628748216</v>
      </c>
      <c r="AV19" s="1">
        <v>23235.256324110673</v>
      </c>
      <c r="AW19" s="1">
        <v>27774.496892323197</v>
      </c>
      <c r="AX19" s="1">
        <v>23246.934414668547</v>
      </c>
      <c r="AY19" s="1">
        <v>26009.627517985613</v>
      </c>
      <c r="AZ19" s="1">
        <v>27350.48603638227</v>
      </c>
      <c r="BA19" s="1">
        <v>29961.324854266029</v>
      </c>
      <c r="BB19" s="1">
        <v>28986.20164013507</v>
      </c>
      <c r="BC19" s="1">
        <v>23443.472066036607</v>
      </c>
      <c r="BD19" s="1">
        <v>20812.494136460555</v>
      </c>
      <c r="BE19" s="1">
        <v>25211.473977695168</v>
      </c>
      <c r="BF19" s="1">
        <v>21464.84746543779</v>
      </c>
      <c r="BG19" s="9">
        <v>25338.534315361932</v>
      </c>
      <c r="BH19" s="1"/>
      <c r="BI19" s="1">
        <v>67636.421404682274</v>
      </c>
      <c r="BJ19" s="1">
        <v>34803.724052034318</v>
      </c>
      <c r="BK19" s="1">
        <v>21627.905471289276</v>
      </c>
      <c r="BL19" s="1">
        <v>22026.234393579074</v>
      </c>
      <c r="BM19" s="1">
        <v>27393.773764258556</v>
      </c>
      <c r="BN19" s="1">
        <v>26426.068192656174</v>
      </c>
      <c r="BO19" s="1">
        <v>23331.967200158073</v>
      </c>
      <c r="BP19" s="1">
        <v>27752.046125461253</v>
      </c>
      <c r="BQ19" s="1">
        <v>23130.579662605436</v>
      </c>
      <c r="BR19" s="1">
        <v>25982.075937950936</v>
      </c>
      <c r="BS19" s="1">
        <v>23063.460187021818</v>
      </c>
      <c r="BT19" s="1">
        <v>29786.39162496708</v>
      </c>
      <c r="BU19" s="1">
        <v>28871.880153403643</v>
      </c>
      <c r="BV19" s="1">
        <v>23197.461904195887</v>
      </c>
      <c r="BW19" s="1">
        <v>20961.636696288551</v>
      </c>
      <c r="BX19" s="1">
        <v>25061.504553734063</v>
      </c>
      <c r="BY19" s="1">
        <v>21460.438700823423</v>
      </c>
      <c r="BZ19" s="9">
        <v>25386.282937484448</v>
      </c>
      <c r="CA19" s="1"/>
      <c r="CB19" s="1">
        <v>69057.204968944105</v>
      </c>
      <c r="CC19" s="1">
        <v>34787.149698960042</v>
      </c>
      <c r="CD19" s="1">
        <v>21639.885973217908</v>
      </c>
      <c r="CE19" s="1">
        <v>22060.166074074074</v>
      </c>
      <c r="CF19" s="1">
        <v>28041.930635838151</v>
      </c>
      <c r="CG19" s="1">
        <v>26462.135577150984</v>
      </c>
      <c r="CH19" s="1">
        <v>23356.956666666665</v>
      </c>
      <c r="CI19" s="1">
        <v>27795.654466084619</v>
      </c>
      <c r="CJ19" s="1">
        <v>23086.258693609023</v>
      </c>
      <c r="CK19" s="1">
        <v>25941.074678267174</v>
      </c>
      <c r="CL19" s="1">
        <v>23085.582861990952</v>
      </c>
      <c r="CM19" s="1">
        <v>29850.539461588971</v>
      </c>
      <c r="CN19" s="1">
        <v>28795.612749762131</v>
      </c>
      <c r="CO19" s="1">
        <v>23200.525226082817</v>
      </c>
      <c r="CP19" s="1">
        <v>21071.724101479915</v>
      </c>
      <c r="CQ19" s="1">
        <v>25034.408273381294</v>
      </c>
      <c r="CR19" s="1">
        <v>22104.189627598811</v>
      </c>
      <c r="CS19" s="9">
        <v>25489.043454269555</v>
      </c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9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9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9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9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9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9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9"/>
      <c r="HW19" s="1"/>
      <c r="HX19" s="1">
        <v>135352.9411764706</v>
      </c>
      <c r="HY19" s="1">
        <v>33869.47193877551</v>
      </c>
      <c r="HZ19" s="1">
        <v>21048.096631082768</v>
      </c>
      <c r="IA19" s="1">
        <v>21270.384321515892</v>
      </c>
      <c r="IB19" s="1">
        <v>27037.715105162522</v>
      </c>
      <c r="IC19" s="1">
        <v>24893.806682577564</v>
      </c>
      <c r="ID19" s="1">
        <v>22429.353680430879</v>
      </c>
      <c r="IE19" s="1">
        <v>25979.716527375065</v>
      </c>
      <c r="IF19" s="1">
        <v>22171.310772163964</v>
      </c>
      <c r="IG19" s="1">
        <v>23973.608394095678</v>
      </c>
      <c r="IH19" s="1">
        <v>26163.794906166218</v>
      </c>
      <c r="II19" s="1">
        <v>28573.307621791515</v>
      </c>
      <c r="IJ19" s="1">
        <v>26792.560951918407</v>
      </c>
      <c r="IK19" s="1">
        <v>22872.237314882252</v>
      </c>
      <c r="IL19" s="1">
        <v>19669.738349241998</v>
      </c>
      <c r="IM19" s="1">
        <v>21700.143925233646</v>
      </c>
      <c r="IN19" s="1">
        <v>20179.884487666033</v>
      </c>
      <c r="IO19" s="1">
        <v>24186.267766730132</v>
      </c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</row>
    <row r="20" spans="1:268" x14ac:dyDescent="0.4">
      <c r="A20" t="s">
        <v>49</v>
      </c>
      <c r="B20" t="s">
        <v>47</v>
      </c>
      <c r="C20" s="1"/>
      <c r="D20" s="1">
        <v>240714.28571428571</v>
      </c>
      <c r="E20" s="1">
        <v>113406.65313653137</v>
      </c>
      <c r="F20" s="1">
        <v>97562.170602125145</v>
      </c>
      <c r="G20" s="1">
        <v>105679.15673017825</v>
      </c>
      <c r="H20" s="1">
        <v>96119.266666666663</v>
      </c>
      <c r="I20" s="1">
        <v>92623.559085133413</v>
      </c>
      <c r="J20" s="1">
        <v>95030.36995153474</v>
      </c>
      <c r="K20" s="1">
        <v>103590.79516994633</v>
      </c>
      <c r="L20" s="1">
        <v>99962.079828937989</v>
      </c>
      <c r="M20" s="1">
        <v>91688.386037910313</v>
      </c>
      <c r="N20" s="1">
        <v>119491.37995049504</v>
      </c>
      <c r="O20" s="1">
        <v>102123.58891454965</v>
      </c>
      <c r="P20" s="1">
        <v>101464.826</v>
      </c>
      <c r="Q20" s="1">
        <v>106370.2761627907</v>
      </c>
      <c r="R20" s="1">
        <v>86236.399399399394</v>
      </c>
      <c r="S20" s="1">
        <v>91688.548571428575</v>
      </c>
      <c r="T20" s="1">
        <v>88937.232786885244</v>
      </c>
      <c r="U20" s="9">
        <v>100815.53760445683</v>
      </c>
      <c r="V20" s="1"/>
      <c r="W20" s="1">
        <v>240714.28571428571</v>
      </c>
      <c r="X20" s="1">
        <v>117813.85537700866</v>
      </c>
      <c r="Y20" s="1">
        <v>102117.86977018267</v>
      </c>
      <c r="Z20" s="1">
        <v>110594.75621890547</v>
      </c>
      <c r="AA20" s="1">
        <v>96284.335820895518</v>
      </c>
      <c r="AB20" s="1">
        <v>95915.968394437426</v>
      </c>
      <c r="AC20" s="1">
        <v>97306.6731078905</v>
      </c>
      <c r="AD20" s="1">
        <v>108965.66080843586</v>
      </c>
      <c r="AE20" s="1">
        <v>100857.87823652904</v>
      </c>
      <c r="AF20" s="1">
        <v>97101.418550992152</v>
      </c>
      <c r="AG20" s="1">
        <v>121581.66143790849</v>
      </c>
      <c r="AH20" s="1">
        <v>105371.87461538462</v>
      </c>
      <c r="AI20" s="1">
        <v>104125.626</v>
      </c>
      <c r="AJ20" s="1">
        <v>109230.2854378326</v>
      </c>
      <c r="AK20" s="1">
        <v>88600.972727272732</v>
      </c>
      <c r="AL20" s="1">
        <v>97219.801136363632</v>
      </c>
      <c r="AM20" s="1">
        <v>92960.236541598701</v>
      </c>
      <c r="AN20" s="9">
        <v>104447.89091134224</v>
      </c>
      <c r="AO20" s="1"/>
      <c r="AP20" s="1">
        <v>240714.28571428571</v>
      </c>
      <c r="AQ20" s="1">
        <v>117882.49565217391</v>
      </c>
      <c r="AR20" s="1">
        <v>102157.50293772033</v>
      </c>
      <c r="AS20" s="1">
        <v>110629.57187696171</v>
      </c>
      <c r="AT20" s="1">
        <v>96302.927007299266</v>
      </c>
      <c r="AU20" s="1">
        <v>95900.656171284631</v>
      </c>
      <c r="AV20" s="1">
        <v>97386.615883306324</v>
      </c>
      <c r="AW20" s="1">
        <v>109269.30430958663</v>
      </c>
      <c r="AX20" s="1">
        <v>101017.56350877193</v>
      </c>
      <c r="AY20" s="1">
        <v>97140.858725761776</v>
      </c>
      <c r="AZ20" s="1">
        <v>121662.59342105263</v>
      </c>
      <c r="BA20" s="1">
        <v>105833.3905775076</v>
      </c>
      <c r="BB20" s="1">
        <v>103048.34331337325</v>
      </c>
      <c r="BC20" s="1">
        <v>109221.8759018759</v>
      </c>
      <c r="BD20" s="1">
        <v>88797.320121951227</v>
      </c>
      <c r="BE20" s="1">
        <v>96951.011173184364</v>
      </c>
      <c r="BF20" s="1">
        <v>92982.939739413676</v>
      </c>
      <c r="BG20" s="9">
        <v>104499.93613861386</v>
      </c>
      <c r="BH20" s="1"/>
      <c r="BI20" s="1">
        <v>232523.24324324325</v>
      </c>
      <c r="BJ20" s="1">
        <v>117731.86296296296</v>
      </c>
      <c r="BK20" s="1">
        <v>102269.63700648202</v>
      </c>
      <c r="BL20" s="1">
        <v>110597.8593059937</v>
      </c>
      <c r="BM20" s="1">
        <v>96382.698529411762</v>
      </c>
      <c r="BN20" s="1">
        <v>96022.808564231731</v>
      </c>
      <c r="BO20" s="1">
        <v>97358.320388349515</v>
      </c>
      <c r="BP20" s="1">
        <v>109290.6862917399</v>
      </c>
      <c r="BQ20" s="1">
        <v>101239.47871598045</v>
      </c>
      <c r="BR20" s="1">
        <v>97062.096251735304</v>
      </c>
      <c r="BS20" s="1">
        <v>102950.63555555555</v>
      </c>
      <c r="BT20" s="1">
        <v>104507.66641394996</v>
      </c>
      <c r="BU20" s="1">
        <v>102626.48214285714</v>
      </c>
      <c r="BV20" s="1">
        <v>106318.28948679622</v>
      </c>
      <c r="BW20" s="1">
        <v>89042.526153846149</v>
      </c>
      <c r="BX20" s="1">
        <v>97242.217877094969</v>
      </c>
      <c r="BY20" s="1">
        <v>93343.24433656958</v>
      </c>
      <c r="BZ20" s="9">
        <v>104573.63451557093</v>
      </c>
      <c r="CA20" s="1"/>
      <c r="CB20" s="1">
        <v>212484.76793248946</v>
      </c>
      <c r="CC20" s="1">
        <v>117707.22456575683</v>
      </c>
      <c r="CD20" s="1">
        <v>102241.5897887324</v>
      </c>
      <c r="CE20" s="1">
        <v>110593.99370277078</v>
      </c>
      <c r="CF20" s="1">
        <v>96382.698529411762</v>
      </c>
      <c r="CG20" s="1">
        <v>96018.254777070062</v>
      </c>
      <c r="CH20" s="1">
        <v>98113.460291734198</v>
      </c>
      <c r="CI20" s="1">
        <v>109688.45144356956</v>
      </c>
      <c r="CJ20" s="1">
        <v>101329.25017373177</v>
      </c>
      <c r="CK20" s="1">
        <v>97307.357836338415</v>
      </c>
      <c r="CL20" s="1">
        <v>100830.08819133035</v>
      </c>
      <c r="CM20" s="1">
        <v>104482.82628398792</v>
      </c>
      <c r="CN20" s="1">
        <v>102841.19161676646</v>
      </c>
      <c r="CO20" s="1">
        <v>106156.0009765625</v>
      </c>
      <c r="CP20" s="1">
        <v>89123.152905198775</v>
      </c>
      <c r="CQ20" s="1">
        <v>97480.932960893857</v>
      </c>
      <c r="CR20" s="1">
        <v>93270.732689210956</v>
      </c>
      <c r="CS20" s="9">
        <v>104684.08749309265</v>
      </c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9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9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9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9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9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9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9"/>
      <c r="HW20" s="1"/>
      <c r="HX20" s="1">
        <v>400000</v>
      </c>
      <c r="HY20" s="1">
        <v>113334.12731767615</v>
      </c>
      <c r="HZ20" s="1">
        <v>97953.061284619922</v>
      </c>
      <c r="IA20" s="1">
        <v>105771.46092307693</v>
      </c>
      <c r="IB20" s="1">
        <v>95758.095588235301</v>
      </c>
      <c r="IC20" s="1">
        <v>92595.674744897959</v>
      </c>
      <c r="ID20" s="1">
        <v>94952.155844155845</v>
      </c>
      <c r="IE20" s="1">
        <v>103202.30183486239</v>
      </c>
      <c r="IF20" s="1">
        <v>100736.32751091704</v>
      </c>
      <c r="IG20" s="1">
        <v>92363.428370786511</v>
      </c>
      <c r="IH20" s="1">
        <v>129654.07797029703</v>
      </c>
      <c r="II20" s="1">
        <v>101937.26452599389</v>
      </c>
      <c r="IJ20" s="1">
        <v>101673.46680080483</v>
      </c>
      <c r="IK20" s="1">
        <v>106201.34010643445</v>
      </c>
      <c r="IL20" s="1">
        <v>86142.631419939571</v>
      </c>
      <c r="IM20" s="1">
        <v>91724.379310344826</v>
      </c>
      <c r="IN20" s="1">
        <v>88579.303278688531</v>
      </c>
      <c r="IO20" s="1">
        <v>101477.80219096228</v>
      </c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</row>
    <row r="21" spans="1:268" s="6" customFormat="1" x14ac:dyDescent="0.4">
      <c r="A21" s="6" t="s">
        <v>49</v>
      </c>
      <c r="B21" s="6" t="s">
        <v>12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9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9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9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9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9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9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9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9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9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9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9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9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</row>
    <row r="22" spans="1:268" x14ac:dyDescent="0.4">
      <c r="A22" t="s">
        <v>49</v>
      </c>
      <c r="B22" t="s">
        <v>10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9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9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9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9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9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9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9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9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9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9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9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9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</row>
    <row r="23" spans="1:268" x14ac:dyDescent="0.4">
      <c r="A23" t="s">
        <v>49</v>
      </c>
      <c r="B23" t="s">
        <v>11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9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9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9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9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9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9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9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9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9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9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9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9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</row>
    <row r="24" spans="1:268" s="6" customFormat="1" x14ac:dyDescent="0.4">
      <c r="A24" s="6" t="s">
        <v>49</v>
      </c>
      <c r="B24" s="6" t="s">
        <v>31</v>
      </c>
      <c r="C24" s="7">
        <v>115875.0030415681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9">
        <v>115875.0030415681</v>
      </c>
      <c r="V24" s="7">
        <v>115830.44149877771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9">
        <v>115830.44149877771</v>
      </c>
      <c r="AO24" s="7">
        <v>116207.71601259537</v>
      </c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9">
        <v>116207.71601259537</v>
      </c>
      <c r="BH24" s="7">
        <v>117172.98195030473</v>
      </c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9">
        <v>117172.98195030473</v>
      </c>
      <c r="CA24" s="7">
        <v>117493.29849282654</v>
      </c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9">
        <v>117493.29849282654</v>
      </c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9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9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9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9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9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9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9"/>
      <c r="HW24" s="7">
        <v>115378.54772808813</v>
      </c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>
        <v>115378.54772808813</v>
      </c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</row>
    <row r="25" spans="1:268" x14ac:dyDescent="0.4">
      <c r="A25" t="s">
        <v>49</v>
      </c>
      <c r="B25" t="s">
        <v>32</v>
      </c>
      <c r="C25" s="1"/>
      <c r="D25" s="1">
        <v>260312.84184806753</v>
      </c>
      <c r="E25" s="1">
        <v>209027.5361392684</v>
      </c>
      <c r="F25" s="1">
        <v>217111.27751031637</v>
      </c>
      <c r="G25" s="1">
        <v>201952.60634860292</v>
      </c>
      <c r="H25" s="1">
        <v>134708.79621542941</v>
      </c>
      <c r="I25" s="1">
        <v>133790.0995694295</v>
      </c>
      <c r="J25" s="1">
        <v>161948.60940070506</v>
      </c>
      <c r="K25" s="1">
        <v>174670.74711168165</v>
      </c>
      <c r="L25" s="1">
        <v>141498.01179498178</v>
      </c>
      <c r="M25" s="1">
        <v>205144.35679144386</v>
      </c>
      <c r="N25" s="1">
        <v>167050.51600893523</v>
      </c>
      <c r="O25" s="1">
        <v>169799.28567508233</v>
      </c>
      <c r="P25" s="1">
        <v>143552.51100561069</v>
      </c>
      <c r="Q25" s="1">
        <v>238082.13282078473</v>
      </c>
      <c r="R25" s="1">
        <v>109393.33950617284</v>
      </c>
      <c r="S25" s="1">
        <v>134276.164828787</v>
      </c>
      <c r="T25" s="1">
        <v>117321.05279665448</v>
      </c>
      <c r="U25" s="9">
        <v>176962.20153759961</v>
      </c>
      <c r="V25" s="1"/>
      <c r="W25" s="1">
        <v>261002.23856063973</v>
      </c>
      <c r="X25" s="1">
        <v>209995.99537648613</v>
      </c>
      <c r="Y25" s="1">
        <v>218840.21440882454</v>
      </c>
      <c r="Z25" s="1">
        <v>202485.18358858008</v>
      </c>
      <c r="AA25" s="1">
        <v>134129.53991710217</v>
      </c>
      <c r="AB25" s="1">
        <v>132722.89780631353</v>
      </c>
      <c r="AC25" s="1">
        <v>162598.65578007518</v>
      </c>
      <c r="AD25" s="1">
        <v>174434.56933772413</v>
      </c>
      <c r="AE25" s="1">
        <v>141451.87288679648</v>
      </c>
      <c r="AF25" s="1">
        <v>200120.9497658578</v>
      </c>
      <c r="AG25" s="1">
        <v>167728.05805011163</v>
      </c>
      <c r="AH25" s="1">
        <v>168557.93864194164</v>
      </c>
      <c r="AI25" s="1">
        <v>146569.652417962</v>
      </c>
      <c r="AJ25" s="1">
        <v>243876.38226059655</v>
      </c>
      <c r="AK25" s="1">
        <v>109712.28073535045</v>
      </c>
      <c r="AL25" s="1">
        <v>134107.73602305475</v>
      </c>
      <c r="AM25" s="1">
        <v>120565.59958180868</v>
      </c>
      <c r="AN25" s="9">
        <v>177337.74495270583</v>
      </c>
      <c r="AO25" s="1"/>
      <c r="AP25" s="1">
        <v>263984.61505002173</v>
      </c>
      <c r="AQ25" s="1">
        <v>211829.12365944407</v>
      </c>
      <c r="AR25" s="1">
        <v>220383.11002066114</v>
      </c>
      <c r="AS25" s="1">
        <v>204139.16872659177</v>
      </c>
      <c r="AT25" s="1">
        <v>134237.99047447878</v>
      </c>
      <c r="AU25" s="1">
        <v>133524.27192066805</v>
      </c>
      <c r="AV25" s="1">
        <v>162943.43422284644</v>
      </c>
      <c r="AW25" s="1">
        <v>177160.36205634833</v>
      </c>
      <c r="AX25" s="1">
        <v>141837.23445180594</v>
      </c>
      <c r="AY25" s="1">
        <v>201101.43259726604</v>
      </c>
      <c r="AZ25" s="1">
        <v>169200.89263420724</v>
      </c>
      <c r="BA25" s="1">
        <v>170258.39308090438</v>
      </c>
      <c r="BB25" s="1">
        <v>145682.75929127051</v>
      </c>
      <c r="BC25" s="1">
        <v>246434.71741969182</v>
      </c>
      <c r="BD25" s="1">
        <v>109689.98664122137</v>
      </c>
      <c r="BE25" s="1">
        <v>133555.01738642738</v>
      </c>
      <c r="BF25" s="1">
        <v>120754.2661795407</v>
      </c>
      <c r="BG25" s="9">
        <v>178566.39161497392</v>
      </c>
      <c r="BH25" s="1"/>
      <c r="BI25" s="1">
        <v>267085.39158699807</v>
      </c>
      <c r="BJ25" s="1">
        <v>212594.12568425664</v>
      </c>
      <c r="BK25" s="1">
        <v>221320.49163071613</v>
      </c>
      <c r="BL25" s="1">
        <v>205178.44801654445</v>
      </c>
      <c r="BM25" s="1">
        <v>134076.96090387375</v>
      </c>
      <c r="BN25" s="1">
        <v>133653.0718375846</v>
      </c>
      <c r="BO25" s="1">
        <v>163293.77985948478</v>
      </c>
      <c r="BP25" s="1">
        <v>179571.47443650357</v>
      </c>
      <c r="BQ25" s="1">
        <v>141481.82560376148</v>
      </c>
      <c r="BR25" s="1">
        <v>205156.07304200972</v>
      </c>
      <c r="BS25" s="1">
        <v>173450.08953373015</v>
      </c>
      <c r="BT25" s="1">
        <v>172465.75137061405</v>
      </c>
      <c r="BU25" s="1">
        <v>146066.44863013699</v>
      </c>
      <c r="BV25" s="1">
        <v>243371.5673503326</v>
      </c>
      <c r="BW25" s="1">
        <v>109730.47125999238</v>
      </c>
      <c r="BX25" s="1">
        <v>134549.30752089137</v>
      </c>
      <c r="BY25" s="1">
        <v>121683.09332638164</v>
      </c>
      <c r="BZ25" s="9">
        <v>179808.54106317411</v>
      </c>
      <c r="CA25" s="1"/>
      <c r="CB25" s="1">
        <v>269413.05275875959</v>
      </c>
      <c r="CC25" s="1">
        <v>213557.3014090709</v>
      </c>
      <c r="CD25" s="1">
        <v>222459.65810928014</v>
      </c>
      <c r="CE25" s="1">
        <v>206638.98918611268</v>
      </c>
      <c r="CF25" s="1">
        <v>136040.86533261221</v>
      </c>
      <c r="CG25" s="1">
        <v>133972.38457529963</v>
      </c>
      <c r="CH25" s="1">
        <v>164046.42789820925</v>
      </c>
      <c r="CI25" s="1">
        <v>182140.92662743657</v>
      </c>
      <c r="CJ25" s="1">
        <v>141754.42437245225</v>
      </c>
      <c r="CK25" s="1">
        <v>209524.12760581175</v>
      </c>
      <c r="CL25" s="1">
        <v>174476.372</v>
      </c>
      <c r="CM25" s="1">
        <v>174728.32298308844</v>
      </c>
      <c r="CN25" s="1">
        <v>147711.65996578272</v>
      </c>
      <c r="CO25" s="1">
        <v>247816.3100927748</v>
      </c>
      <c r="CP25" s="1">
        <v>110761.69513596324</v>
      </c>
      <c r="CQ25" s="1">
        <v>134934.4958077138</v>
      </c>
      <c r="CR25" s="1">
        <v>122537.35396419438</v>
      </c>
      <c r="CS25" s="9">
        <v>181306.20081890936</v>
      </c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9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9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9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9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9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9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9"/>
      <c r="HW25" s="1"/>
      <c r="HX25" s="1">
        <v>256202.87774846086</v>
      </c>
      <c r="HY25" s="1">
        <v>204708.98579855802</v>
      </c>
      <c r="HZ25" s="1">
        <v>212467.96333275951</v>
      </c>
      <c r="IA25" s="1">
        <v>193969.6648854962</v>
      </c>
      <c r="IB25" s="1">
        <v>130429.53823255814</v>
      </c>
      <c r="IC25" s="1">
        <v>129763.75150191152</v>
      </c>
      <c r="ID25" s="1">
        <v>158944.43196239718</v>
      </c>
      <c r="IE25" s="1">
        <v>170327.32450453789</v>
      </c>
      <c r="IF25" s="1">
        <v>138938.93967567568</v>
      </c>
      <c r="IG25" s="1">
        <v>198966.00150732129</v>
      </c>
      <c r="IH25" s="1">
        <v>161062.00819265144</v>
      </c>
      <c r="II25" s="1">
        <v>164466.48284381005</v>
      </c>
      <c r="IJ25" s="1">
        <v>139394.24740932643</v>
      </c>
      <c r="IK25" s="1">
        <v>225085.83854022672</v>
      </c>
      <c r="IL25" s="1">
        <v>108368.64244521338</v>
      </c>
      <c r="IM25" s="1">
        <v>131704.85879629629</v>
      </c>
      <c r="IN25" s="1">
        <v>115521.18378093734</v>
      </c>
      <c r="IO25" s="1">
        <v>172014.96666196897</v>
      </c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</row>
    <row r="26" spans="1:268" x14ac:dyDescent="0.4">
      <c r="A26" t="s">
        <v>49</v>
      </c>
      <c r="B26" t="s">
        <v>50</v>
      </c>
      <c r="C26" s="1"/>
      <c r="D26" s="1">
        <v>166083.33333333334</v>
      </c>
      <c r="E26" s="1">
        <v>47910.371058315337</v>
      </c>
      <c r="F26" s="1">
        <v>34120.683523486485</v>
      </c>
      <c r="G26" s="1">
        <v>36334.200574014794</v>
      </c>
      <c r="H26" s="1">
        <v>40572.153508771931</v>
      </c>
      <c r="I26" s="1">
        <v>35926.997695410028</v>
      </c>
      <c r="J26" s="1">
        <v>30228.473121926403</v>
      </c>
      <c r="K26" s="1">
        <v>38945.121877573431</v>
      </c>
      <c r="L26" s="1">
        <v>42138.578187510873</v>
      </c>
      <c r="M26" s="1">
        <v>44607.425087108015</v>
      </c>
      <c r="N26" s="1">
        <v>39958.193554725876</v>
      </c>
      <c r="O26" s="1">
        <v>39031.497231686539</v>
      </c>
      <c r="P26" s="1">
        <v>42992.326915671933</v>
      </c>
      <c r="Q26" s="1">
        <v>38883.84113357334</v>
      </c>
      <c r="R26" s="1">
        <v>28952.775127768313</v>
      </c>
      <c r="S26" s="1">
        <v>42505.762169680114</v>
      </c>
      <c r="T26" s="1">
        <v>29021.989004516003</v>
      </c>
      <c r="U26" s="9">
        <v>38037.932068159185</v>
      </c>
      <c r="V26" s="1"/>
      <c r="W26" s="1">
        <v>166083.33333333334</v>
      </c>
      <c r="X26" s="1">
        <v>46734.627177700349</v>
      </c>
      <c r="Y26" s="1">
        <v>34293.498252826314</v>
      </c>
      <c r="Z26" s="1">
        <v>36144.565921356974</v>
      </c>
      <c r="AA26" s="1">
        <v>40435.276877761411</v>
      </c>
      <c r="AB26" s="1">
        <v>36034.209262106073</v>
      </c>
      <c r="AC26" s="1">
        <v>30126.618316748187</v>
      </c>
      <c r="AD26" s="1">
        <v>39459.695033520315</v>
      </c>
      <c r="AE26" s="1">
        <v>42062.865881129786</v>
      </c>
      <c r="AF26" s="1">
        <v>44613.147545059044</v>
      </c>
      <c r="AG26" s="1">
        <v>38630.220878048778</v>
      </c>
      <c r="AH26" s="1">
        <v>38722.772717576794</v>
      </c>
      <c r="AI26" s="1">
        <v>42942.961981566819</v>
      </c>
      <c r="AJ26" s="1">
        <v>38772.599042709866</v>
      </c>
      <c r="AK26" s="1">
        <v>29053.425223689817</v>
      </c>
      <c r="AL26" s="1">
        <v>42130.325102880655</v>
      </c>
      <c r="AM26" s="1">
        <v>28967.100876338853</v>
      </c>
      <c r="AN26" s="9">
        <v>37883.679702189278</v>
      </c>
      <c r="AO26" s="1"/>
      <c r="AP26" s="1">
        <v>166083.33333333334</v>
      </c>
      <c r="AQ26" s="1">
        <v>46957.723899913719</v>
      </c>
      <c r="AR26" s="1">
        <v>34183.774453747195</v>
      </c>
      <c r="AS26" s="1">
        <v>36350.15850713502</v>
      </c>
      <c r="AT26" s="1">
        <v>40534.241935483871</v>
      </c>
      <c r="AU26" s="1">
        <v>35949.77929312332</v>
      </c>
      <c r="AV26" s="1">
        <v>29866.450921273034</v>
      </c>
      <c r="AW26" s="1">
        <v>39495.469039825424</v>
      </c>
      <c r="AX26" s="1">
        <v>42053.174138826384</v>
      </c>
      <c r="AY26" s="1">
        <v>44428.986505060602</v>
      </c>
      <c r="AZ26" s="1">
        <v>38576.731461761861</v>
      </c>
      <c r="BA26" s="1">
        <v>38940.311347895578</v>
      </c>
      <c r="BB26" s="1">
        <v>42835.74233128834</v>
      </c>
      <c r="BC26" s="1">
        <v>38686.443804298127</v>
      </c>
      <c r="BD26" s="1">
        <v>28934.533106960949</v>
      </c>
      <c r="BE26" s="1">
        <v>42411.528120713308</v>
      </c>
      <c r="BF26" s="1">
        <v>29191.560714979601</v>
      </c>
      <c r="BG26" s="9">
        <v>37881.18379478564</v>
      </c>
      <c r="BH26" s="1"/>
      <c r="BI26" s="1">
        <v>104658.37092731829</v>
      </c>
      <c r="BJ26" s="1">
        <v>46835.133234484223</v>
      </c>
      <c r="BK26" s="1">
        <v>33902.978500050471</v>
      </c>
      <c r="BL26" s="1">
        <v>36111.459537252296</v>
      </c>
      <c r="BM26" s="1">
        <v>39644.851798561154</v>
      </c>
      <c r="BN26" s="1">
        <v>35871.773049645388</v>
      </c>
      <c r="BO26" s="1">
        <v>29761.321078023622</v>
      </c>
      <c r="BP26" s="1">
        <v>39373.794321423717</v>
      </c>
      <c r="BQ26" s="1">
        <v>41875.212469941602</v>
      </c>
      <c r="BR26" s="1">
        <v>43949.561801935961</v>
      </c>
      <c r="BS26" s="1">
        <v>31752.926470588234</v>
      </c>
      <c r="BT26" s="1">
        <v>38543.511911064052</v>
      </c>
      <c r="BU26" s="1">
        <v>42319.534769463338</v>
      </c>
      <c r="BV26" s="1">
        <v>37173.890263876252</v>
      </c>
      <c r="BW26" s="1">
        <v>28910.566164154105</v>
      </c>
      <c r="BX26" s="1">
        <v>41776.304289544234</v>
      </c>
      <c r="BY26" s="1">
        <v>29224.525168756027</v>
      </c>
      <c r="BZ26" s="9">
        <v>37698.744932450441</v>
      </c>
      <c r="CA26" s="1"/>
      <c r="CB26" s="1">
        <v>103700.25136612022</v>
      </c>
      <c r="CC26" s="1">
        <v>46411.095128580389</v>
      </c>
      <c r="CD26" s="1">
        <v>34065.57820291035</v>
      </c>
      <c r="CE26" s="1">
        <v>36150.738347691629</v>
      </c>
      <c r="CF26" s="1">
        <v>37129.944966442956</v>
      </c>
      <c r="CG26" s="1">
        <v>35690.473282442748</v>
      </c>
      <c r="CH26" s="1">
        <v>29695.286611570249</v>
      </c>
      <c r="CI26" s="1">
        <v>39468.839777506444</v>
      </c>
      <c r="CJ26" s="1">
        <v>41909.418181818182</v>
      </c>
      <c r="CK26" s="1">
        <v>43566.083097377814</v>
      </c>
      <c r="CL26" s="1">
        <v>31185.064799331103</v>
      </c>
      <c r="CM26" s="1">
        <v>38567.027312032056</v>
      </c>
      <c r="CN26" s="1">
        <v>41915.315533980582</v>
      </c>
      <c r="CO26" s="1">
        <v>37121.676478530921</v>
      </c>
      <c r="CP26" s="1">
        <v>28838.684914333473</v>
      </c>
      <c r="CQ26" s="1">
        <v>41936.120320855618</v>
      </c>
      <c r="CR26" s="1">
        <v>29744.454423076924</v>
      </c>
      <c r="CS26" s="9">
        <v>37707.126403273513</v>
      </c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9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9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9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9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9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9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9"/>
      <c r="HW26" s="1"/>
      <c r="HX26" s="1">
        <v>185761.90476190476</v>
      </c>
      <c r="HY26" s="1">
        <v>46039.988232730444</v>
      </c>
      <c r="HZ26" s="1">
        <v>33152.624352868086</v>
      </c>
      <c r="IA26" s="1">
        <v>34792.259678313923</v>
      </c>
      <c r="IB26" s="1">
        <v>39131.803418803422</v>
      </c>
      <c r="IC26" s="1">
        <v>34045.387233224377</v>
      </c>
      <c r="ID26" s="1">
        <v>29206.393836199557</v>
      </c>
      <c r="IE26" s="1">
        <v>36616.369883849555</v>
      </c>
      <c r="IF26" s="1">
        <v>40405.470321229048</v>
      </c>
      <c r="IG26" s="1">
        <v>41180.534183799849</v>
      </c>
      <c r="IH26" s="1">
        <v>40069.942596991292</v>
      </c>
      <c r="II26" s="1">
        <v>37189.182337387625</v>
      </c>
      <c r="IJ26" s="1">
        <v>40712.426317814541</v>
      </c>
      <c r="IK26" s="1">
        <v>37418.791139240508</v>
      </c>
      <c r="IL26" s="1">
        <v>26988.975392448028</v>
      </c>
      <c r="IM26" s="1">
        <v>38667.067321178118</v>
      </c>
      <c r="IN26" s="1">
        <v>27316.906899255195</v>
      </c>
      <c r="IO26" s="1">
        <v>36305.875341160165</v>
      </c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</row>
    <row r="27" spans="1:268" s="6" customFormat="1" x14ac:dyDescent="0.4">
      <c r="A27" s="6" t="s">
        <v>43</v>
      </c>
      <c r="B27" s="6" t="s">
        <v>33</v>
      </c>
      <c r="D27" s="7">
        <v>357500</v>
      </c>
      <c r="E27" s="7">
        <v>274720.66666666669</v>
      </c>
      <c r="F27" s="7">
        <v>282733.20547945204</v>
      </c>
      <c r="G27" s="7">
        <v>247798.6984126984</v>
      </c>
      <c r="H27" s="7">
        <v>215912.11666666667</v>
      </c>
      <c r="I27" s="7">
        <v>182751.24489795917</v>
      </c>
      <c r="J27" s="7">
        <v>185009.08490566039</v>
      </c>
      <c r="K27" s="7">
        <v>252375.5045045045</v>
      </c>
      <c r="L27" s="7">
        <v>200661.41379310345</v>
      </c>
      <c r="M27" s="7">
        <v>243193.67132867133</v>
      </c>
      <c r="N27" s="7">
        <v>271322.15887850465</v>
      </c>
      <c r="O27" s="7">
        <v>263923.98113207548</v>
      </c>
      <c r="P27" s="7">
        <v>242533.33333333334</v>
      </c>
      <c r="Q27" s="7">
        <v>342174.11538461538</v>
      </c>
      <c r="R27" s="7">
        <v>192878.75</v>
      </c>
      <c r="S27" s="7">
        <v>174320.56989247311</v>
      </c>
      <c r="T27" s="7">
        <v>492677.77777777775</v>
      </c>
      <c r="U27" s="9">
        <v>248418.62491582491</v>
      </c>
      <c r="V27" s="7"/>
      <c r="W27" s="7">
        <v>428000</v>
      </c>
      <c r="X27" s="7">
        <v>246911.11111111112</v>
      </c>
      <c r="Y27" s="7">
        <v>258444.25757575757</v>
      </c>
      <c r="Z27" s="7">
        <v>410979.59183673467</v>
      </c>
      <c r="AA27" s="7">
        <v>234007.15789473685</v>
      </c>
      <c r="AB27" s="7">
        <v>182056.72500000001</v>
      </c>
      <c r="AC27" s="7">
        <v>196429.75757575757</v>
      </c>
      <c r="AD27" s="7">
        <v>289636.36065573769</v>
      </c>
      <c r="AE27" s="7">
        <v>209394.53333333333</v>
      </c>
      <c r="AF27" s="7">
        <v>198341.8</v>
      </c>
      <c r="AG27" s="7">
        <v>200690.18421052632</v>
      </c>
      <c r="AH27" s="7">
        <v>210111.11111111112</v>
      </c>
      <c r="AI27" s="7">
        <v>196949.30303030304</v>
      </c>
      <c r="AJ27" s="7">
        <v>412329.78723404254</v>
      </c>
      <c r="AK27" s="7">
        <v>177857.14285714287</v>
      </c>
      <c r="AL27" s="7">
        <v>181816.20833333334</v>
      </c>
      <c r="AM27" s="7">
        <v>192500</v>
      </c>
      <c r="AN27" s="9">
        <v>274113.77403035411</v>
      </c>
      <c r="AO27" s="7"/>
      <c r="AP27" s="7">
        <v>573818.19999999995</v>
      </c>
      <c r="AQ27" s="7">
        <v>363012.2089552239</v>
      </c>
      <c r="AR27" s="7">
        <v>302032.75714285712</v>
      </c>
      <c r="AS27" s="7">
        <v>264221.31147540984</v>
      </c>
      <c r="AT27" s="7">
        <v>214002.14285714287</v>
      </c>
      <c r="AU27" s="7">
        <v>219640.14583333334</v>
      </c>
      <c r="AV27" s="7">
        <v>213605.05737704918</v>
      </c>
      <c r="AW27" s="7">
        <v>293965.90625</v>
      </c>
      <c r="AX27" s="7">
        <v>307095.23809523811</v>
      </c>
      <c r="AY27" s="7">
        <v>277479.16666666669</v>
      </c>
      <c r="AZ27" s="7">
        <v>298954.54545454547</v>
      </c>
      <c r="BA27" s="7">
        <v>191111.11111111112</v>
      </c>
      <c r="BB27" s="7">
        <v>197919.53846153847</v>
      </c>
      <c r="BC27" s="7">
        <v>250936.63636363635</v>
      </c>
      <c r="BD27" s="7">
        <v>188636.3448275862</v>
      </c>
      <c r="BE27" s="7">
        <v>177884.42307692306</v>
      </c>
      <c r="BF27" s="7">
        <v>200720</v>
      </c>
      <c r="BG27" s="9">
        <v>260449.8980044346</v>
      </c>
      <c r="BI27" s="7">
        <v>418235.57692307694</v>
      </c>
      <c r="BJ27" s="7">
        <v>249456.52173913043</v>
      </c>
      <c r="BK27" s="7">
        <v>206204.06382978722</v>
      </c>
      <c r="BL27" s="7">
        <v>199484.13513513515</v>
      </c>
      <c r="BM27" s="7">
        <v>210757.61111111112</v>
      </c>
      <c r="BN27" s="7">
        <v>180415.51428571428</v>
      </c>
      <c r="BO27" s="7">
        <v>273257.24561403511</v>
      </c>
      <c r="BP27" s="7">
        <v>234410.75949367089</v>
      </c>
      <c r="BQ27" s="7">
        <v>348148.9156626506</v>
      </c>
      <c r="BR27" s="7">
        <v>327965.58878504671</v>
      </c>
      <c r="BS27" s="7">
        <v>413108.86585365853</v>
      </c>
      <c r="BT27" s="7">
        <v>219142.85714285713</v>
      </c>
      <c r="BU27" s="7">
        <v>184662</v>
      </c>
      <c r="BV27" s="7">
        <v>398439.30635838152</v>
      </c>
      <c r="BW27" s="7">
        <v>187556.75</v>
      </c>
      <c r="BX27" s="7">
        <v>187608.11904761905</v>
      </c>
      <c r="BY27" s="7">
        <v>277307.69230769231</v>
      </c>
      <c r="BZ27" s="9">
        <v>309349.96517412935</v>
      </c>
      <c r="CA27" s="7"/>
      <c r="CB27" s="7">
        <v>398000</v>
      </c>
      <c r="CC27" s="7">
        <v>296262.62222222221</v>
      </c>
      <c r="CD27" s="7">
        <v>240240.98333333334</v>
      </c>
      <c r="CE27" s="7">
        <v>217894.28571428571</v>
      </c>
      <c r="CF27" s="7">
        <v>228235.29411764705</v>
      </c>
      <c r="CG27" s="7">
        <v>184848.45454545456</v>
      </c>
      <c r="CH27" s="7">
        <v>222901.32500000001</v>
      </c>
      <c r="CI27" s="7">
        <v>264377.59000000003</v>
      </c>
      <c r="CJ27" s="7">
        <v>194021.38235294117</v>
      </c>
      <c r="CK27" s="7">
        <v>299937.5</v>
      </c>
      <c r="CL27" s="7">
        <v>217920</v>
      </c>
      <c r="CM27" s="7">
        <v>312291.66666666669</v>
      </c>
      <c r="CN27" s="7">
        <v>268064.32258064515</v>
      </c>
      <c r="CO27" s="7">
        <v>285232.14285714284</v>
      </c>
      <c r="CP27" s="7">
        <v>201401.58333333334</v>
      </c>
      <c r="CQ27" s="7">
        <v>183692.91666666666</v>
      </c>
      <c r="CR27" s="7">
        <v>230000</v>
      </c>
      <c r="CS27" s="9">
        <v>251889.55772357722</v>
      </c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9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9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9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9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9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9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9"/>
      <c r="HW27" s="7"/>
      <c r="HX27" s="7">
        <v>592378.08219178079</v>
      </c>
      <c r="HY27" s="7">
        <v>287753.66199158487</v>
      </c>
      <c r="HZ27" s="7">
        <v>256696.23207776429</v>
      </c>
      <c r="IA27" s="7">
        <v>296464.68941504176</v>
      </c>
      <c r="IB27" s="7">
        <v>226731.96091954023</v>
      </c>
      <c r="IC27" s="7">
        <v>221180.68421052632</v>
      </c>
      <c r="ID27" s="7">
        <v>231224.45875542692</v>
      </c>
      <c r="IE27" s="7">
        <v>255412.2128463476</v>
      </c>
      <c r="IF27" s="7">
        <v>255569.08011049725</v>
      </c>
      <c r="IG27" s="7">
        <v>322225.8426183844</v>
      </c>
      <c r="IH27" s="7">
        <v>250971.23927765238</v>
      </c>
      <c r="II27" s="7">
        <v>248356.96296296295</v>
      </c>
      <c r="IJ27" s="7">
        <v>185678.35606060605</v>
      </c>
      <c r="IK27" s="7">
        <v>307704.89420935413</v>
      </c>
      <c r="IL27" s="7">
        <v>204589.64444444445</v>
      </c>
      <c r="IM27" s="7">
        <v>175790.71360381861</v>
      </c>
      <c r="IN27" s="7">
        <v>198098.08771929826</v>
      </c>
      <c r="IO27" s="7">
        <v>263343.50258112093</v>
      </c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</row>
    <row r="28" spans="1:268" x14ac:dyDescent="0.4">
      <c r="A28" t="s">
        <v>43</v>
      </c>
      <c r="B28" t="s">
        <v>35</v>
      </c>
      <c r="D28" s="1">
        <v>241249.661268556</v>
      </c>
      <c r="E28" s="1">
        <v>222639.57647058825</v>
      </c>
      <c r="F28" s="1">
        <v>238261.57235421168</v>
      </c>
      <c r="G28" s="1">
        <v>238818.36363636365</v>
      </c>
      <c r="H28" s="1">
        <v>110005.0506329114</v>
      </c>
      <c r="I28" s="1">
        <v>134907.91129032258</v>
      </c>
      <c r="J28" s="1">
        <v>135931.51211072665</v>
      </c>
      <c r="K28" s="1">
        <v>141605.08045977011</v>
      </c>
      <c r="L28" s="1">
        <v>146963.98820058996</v>
      </c>
      <c r="M28" s="1">
        <v>182033.96085409253</v>
      </c>
      <c r="N28" s="1">
        <v>240697.94838709678</v>
      </c>
      <c r="O28" s="1">
        <v>205295.42934782608</v>
      </c>
      <c r="P28" s="1">
        <v>158554.61728395062</v>
      </c>
      <c r="Q28" s="1">
        <v>205534.23432343235</v>
      </c>
      <c r="R28" s="1">
        <v>119793.51492537314</v>
      </c>
      <c r="S28" s="1">
        <v>104766.9765625</v>
      </c>
      <c r="T28" s="1">
        <v>103336.72897196261</v>
      </c>
      <c r="U28" s="9">
        <v>193620.26866465685</v>
      </c>
      <c r="V28" s="1"/>
      <c r="W28" s="1">
        <v>233042.11627906977</v>
      </c>
      <c r="X28" s="1">
        <v>200456.96629213484</v>
      </c>
      <c r="Y28" s="1">
        <v>202035.20253164557</v>
      </c>
      <c r="Z28" s="1">
        <v>200123.94</v>
      </c>
      <c r="AA28" s="1">
        <v>112098.40776699029</v>
      </c>
      <c r="AB28" s="1">
        <v>130182.83333333333</v>
      </c>
      <c r="AC28" s="1">
        <v>176631.8439716312</v>
      </c>
      <c r="AD28" s="1">
        <v>114012.8090909091</v>
      </c>
      <c r="AE28" s="1">
        <v>108903.21935483871</v>
      </c>
      <c r="AF28" s="1">
        <v>120144.57831325301</v>
      </c>
      <c r="AG28" s="1">
        <v>126208.05369127517</v>
      </c>
      <c r="AH28" s="1">
        <v>158080.04477611941</v>
      </c>
      <c r="AI28" s="1">
        <v>101993.42168674699</v>
      </c>
      <c r="AJ28" s="1">
        <v>128007.14285714286</v>
      </c>
      <c r="AK28" s="1">
        <v>99171.903846153844</v>
      </c>
      <c r="AL28" s="1">
        <v>104373.15789473684</v>
      </c>
      <c r="AM28" s="1">
        <v>133071.03973509933</v>
      </c>
      <c r="AN28" s="9">
        <v>147340.93178212587</v>
      </c>
      <c r="AO28" s="1"/>
      <c r="AP28" s="1">
        <v>210805.97014925373</v>
      </c>
      <c r="AQ28" s="1">
        <v>170083.47798742139</v>
      </c>
      <c r="AR28" s="1">
        <v>226766.50753768845</v>
      </c>
      <c r="AS28" s="1">
        <v>149443.95398773006</v>
      </c>
      <c r="AT28" s="1">
        <v>107907.62379421222</v>
      </c>
      <c r="AU28" s="1">
        <v>121656.69736842105</v>
      </c>
      <c r="AV28" s="1">
        <v>134613</v>
      </c>
      <c r="AW28" s="1">
        <v>129706.8717948718</v>
      </c>
      <c r="AX28" s="1">
        <v>138996.86206896551</v>
      </c>
      <c r="AY28" s="1">
        <v>192966.08648648649</v>
      </c>
      <c r="AZ28" s="1">
        <v>104725.44252873563</v>
      </c>
      <c r="BA28" s="1">
        <v>144228.21379310344</v>
      </c>
      <c r="BB28" s="1">
        <v>105905.82142857143</v>
      </c>
      <c r="BC28" s="1">
        <v>192446.42857142858</v>
      </c>
      <c r="BD28" s="1">
        <v>101552.25</v>
      </c>
      <c r="BE28" s="1">
        <v>100772.72549019608</v>
      </c>
      <c r="BF28" s="1">
        <v>99836.065573770495</v>
      </c>
      <c r="BG28" s="9">
        <v>145387.41332263243</v>
      </c>
      <c r="BI28" s="1">
        <v>242396.26470588235</v>
      </c>
      <c r="BJ28" s="1">
        <v>168600.12735849057</v>
      </c>
      <c r="BK28" s="1">
        <v>145733.52147239263</v>
      </c>
      <c r="BL28" s="1">
        <v>127635.13496932515</v>
      </c>
      <c r="BM28" s="1">
        <v>117568.90909090909</v>
      </c>
      <c r="BN28" s="1">
        <v>96492.15833333334</v>
      </c>
      <c r="BO28" s="1">
        <v>128999.10365853658</v>
      </c>
      <c r="BP28" s="1">
        <v>134554.77922077922</v>
      </c>
      <c r="BQ28" s="1">
        <v>135756.02332361517</v>
      </c>
      <c r="BR28" s="1">
        <v>166088.09677419355</v>
      </c>
      <c r="BS28" s="1">
        <v>194711.03557312253</v>
      </c>
      <c r="BT28" s="1">
        <v>117172.29186602871</v>
      </c>
      <c r="BU28" s="1">
        <v>107395.06666666667</v>
      </c>
      <c r="BV28" s="1">
        <v>200155.84905660377</v>
      </c>
      <c r="BW28" s="1">
        <v>113765.88571428572</v>
      </c>
      <c r="BX28" s="1">
        <v>108777.33720930232</v>
      </c>
      <c r="BY28" s="1">
        <v>107586.8</v>
      </c>
      <c r="BZ28" s="9">
        <v>150503.69075520834</v>
      </c>
      <c r="CA28" s="1"/>
      <c r="CB28" s="1">
        <v>259312.21830985916</v>
      </c>
      <c r="CC28" s="1">
        <v>154255.63366336634</v>
      </c>
      <c r="CD28" s="1">
        <v>173332.23966942148</v>
      </c>
      <c r="CE28" s="1">
        <v>170934.41549295775</v>
      </c>
      <c r="CF28" s="1">
        <v>132002.23722627739</v>
      </c>
      <c r="CG28" s="1">
        <v>97064.375</v>
      </c>
      <c r="CH28" s="1">
        <v>112263.63551401869</v>
      </c>
      <c r="CI28" s="1">
        <v>150074.44897959183</v>
      </c>
      <c r="CJ28" s="1">
        <v>117150.09550561798</v>
      </c>
      <c r="CK28" s="1">
        <v>130256.908045977</v>
      </c>
      <c r="CL28" s="1">
        <v>102465.30921052632</v>
      </c>
      <c r="CM28" s="1">
        <v>174548.90510948905</v>
      </c>
      <c r="CN28" s="1">
        <v>117694.3829787234</v>
      </c>
      <c r="CO28" s="1">
        <v>161204.9180327869</v>
      </c>
      <c r="CP28" s="1">
        <v>81827.253333333327</v>
      </c>
      <c r="CQ28" s="1">
        <v>114867.41666666667</v>
      </c>
      <c r="CR28" s="1">
        <v>99549.623853211015</v>
      </c>
      <c r="CS28" s="9">
        <v>139517.95361781077</v>
      </c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9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9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9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9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9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9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9"/>
      <c r="HW28" s="1"/>
      <c r="HX28" s="1">
        <v>224930.59246171967</v>
      </c>
      <c r="HY28" s="1">
        <v>192308.38078902231</v>
      </c>
      <c r="HZ28" s="1">
        <v>181447.96842650103</v>
      </c>
      <c r="IA28" s="1">
        <v>183200.31378986867</v>
      </c>
      <c r="IB28" s="1">
        <v>115048.15315315315</v>
      </c>
      <c r="IC28" s="1">
        <v>127421.8756097561</v>
      </c>
      <c r="ID28" s="1">
        <v>125258.39748953976</v>
      </c>
      <c r="IE28" s="1">
        <v>137259.40050761422</v>
      </c>
      <c r="IF28" s="1">
        <v>123145.13623046875</v>
      </c>
      <c r="IG28" s="1">
        <v>144835.48451327434</v>
      </c>
      <c r="IH28" s="1">
        <v>154892.81479758027</v>
      </c>
      <c r="II28" s="1">
        <v>195771.38721264369</v>
      </c>
      <c r="IJ28" s="1">
        <v>121916.13759213759</v>
      </c>
      <c r="IK28" s="1">
        <v>222323.30706521738</v>
      </c>
      <c r="IL28" s="1">
        <v>102219.23193010325</v>
      </c>
      <c r="IM28" s="1">
        <v>105861.94670846395</v>
      </c>
      <c r="IN28" s="1">
        <v>99111.044678055187</v>
      </c>
      <c r="IO28" s="1">
        <v>154469.98417164967</v>
      </c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</row>
    <row r="29" spans="1:268" x14ac:dyDescent="0.4">
      <c r="A29" t="s">
        <v>43</v>
      </c>
      <c r="B29" t="s">
        <v>44</v>
      </c>
      <c r="D29" s="1"/>
      <c r="E29" s="1">
        <v>112615.17647058824</v>
      </c>
      <c r="F29" s="1">
        <v>105817.83333333333</v>
      </c>
      <c r="G29" s="1">
        <v>110587.76146788991</v>
      </c>
      <c r="H29" s="1">
        <v>111045.33333333333</v>
      </c>
      <c r="I29" s="1">
        <v>78686.765432098764</v>
      </c>
      <c r="J29" s="1">
        <v>91594.260869565216</v>
      </c>
      <c r="K29" s="1">
        <v>111471</v>
      </c>
      <c r="L29" s="1">
        <v>82930.453703703708</v>
      </c>
      <c r="M29" s="1">
        <v>96273.431192660544</v>
      </c>
      <c r="N29" s="1">
        <v>145938.43373493975</v>
      </c>
      <c r="O29" s="1">
        <v>103585.29411764706</v>
      </c>
      <c r="P29" s="1">
        <v>110225.33333333333</v>
      </c>
      <c r="Q29" s="1">
        <v>124634.98717948717</v>
      </c>
      <c r="R29" s="1">
        <v>88522.436363636371</v>
      </c>
      <c r="S29" s="1">
        <v>81267.199999999997</v>
      </c>
      <c r="T29" s="1">
        <v>102087.65853658537</v>
      </c>
      <c r="U29" s="9">
        <v>104490.91819160388</v>
      </c>
      <c r="V29" s="1"/>
      <c r="W29" s="1"/>
      <c r="X29" s="1">
        <v>106959.6875</v>
      </c>
      <c r="Y29" s="1">
        <v>103759.26086956522</v>
      </c>
      <c r="Z29" s="1">
        <v>86116.78571428571</v>
      </c>
      <c r="AA29" s="1">
        <v>101050</v>
      </c>
      <c r="AB29" s="1">
        <v>80605.798319327732</v>
      </c>
      <c r="AC29" s="1">
        <v>83745.555555555562</v>
      </c>
      <c r="AD29" s="1">
        <v>104255.39189189189</v>
      </c>
      <c r="AE29" s="1">
        <v>72245.988505747126</v>
      </c>
      <c r="AF29" s="1">
        <v>90243.064102564109</v>
      </c>
      <c r="AG29" s="1">
        <v>81780</v>
      </c>
      <c r="AH29" s="1">
        <v>123610</v>
      </c>
      <c r="AI29" s="1">
        <v>110374.96666666666</v>
      </c>
      <c r="AJ29" s="1">
        <v>85592.952380952382</v>
      </c>
      <c r="AK29" s="1">
        <v>91925.655172413797</v>
      </c>
      <c r="AL29" s="1">
        <v>78475.833333333328</v>
      </c>
      <c r="AM29" s="1">
        <v>80846.846153846156</v>
      </c>
      <c r="AN29" s="9">
        <v>89400.654761904763</v>
      </c>
      <c r="AO29" s="1"/>
      <c r="AP29" s="1"/>
      <c r="AQ29" s="1">
        <v>114000</v>
      </c>
      <c r="AR29" s="1">
        <v>122726.84</v>
      </c>
      <c r="AS29" s="1">
        <v>148165.67000000001</v>
      </c>
      <c r="AT29" s="1">
        <v>92433.333333333328</v>
      </c>
      <c r="AU29" s="1">
        <v>82790.084507042251</v>
      </c>
      <c r="AV29" s="1">
        <v>96968.882352941175</v>
      </c>
      <c r="AW29" s="1">
        <v>112341.01538461538</v>
      </c>
      <c r="AX29" s="1">
        <v>77713.75</v>
      </c>
      <c r="AY29" s="1">
        <v>126848.47727272728</v>
      </c>
      <c r="AZ29" s="1">
        <v>115671.42857142857</v>
      </c>
      <c r="BA29" s="1">
        <v>122955.70833333333</v>
      </c>
      <c r="BB29" s="1">
        <v>98875.923076923078</v>
      </c>
      <c r="BC29" s="1">
        <v>95557.102040816331</v>
      </c>
      <c r="BD29" s="1">
        <v>96095.65217391304</v>
      </c>
      <c r="BE29" s="1">
        <v>79312.352941176476</v>
      </c>
      <c r="BF29" s="1">
        <v>92037.708333333328</v>
      </c>
      <c r="BG29" s="9">
        <v>108915.46153846153</v>
      </c>
      <c r="BI29" s="1">
        <v>232201.1235955056</v>
      </c>
      <c r="BJ29" s="1">
        <v>110286.66666666667</v>
      </c>
      <c r="BK29" s="1">
        <v>103752.69811320755</v>
      </c>
      <c r="BL29" s="1">
        <v>107820.04761904762</v>
      </c>
      <c r="BM29" s="1">
        <v>112800</v>
      </c>
      <c r="BN29" s="1">
        <v>83146.044776119408</v>
      </c>
      <c r="BO29" s="1">
        <v>93137.333333333328</v>
      </c>
      <c r="BP29" s="1">
        <v>112735.2</v>
      </c>
      <c r="BQ29" s="1">
        <v>99047.15625</v>
      </c>
      <c r="BR29" s="1">
        <v>101028.91489361702</v>
      </c>
      <c r="BS29" s="1">
        <v>190025.5</v>
      </c>
      <c r="BT29" s="1">
        <v>97623.103448275855</v>
      </c>
      <c r="BU29" s="1">
        <v>96018.8</v>
      </c>
      <c r="BV29" s="1">
        <v>129150.08917197453</v>
      </c>
      <c r="BW29" s="1">
        <v>87545.454545454544</v>
      </c>
      <c r="BX29" s="1">
        <v>91184.826086956527</v>
      </c>
      <c r="BY29" s="1">
        <v>89287.46875</v>
      </c>
      <c r="BZ29" s="9">
        <v>133789.20519159455</v>
      </c>
      <c r="CA29" s="1"/>
      <c r="CB29" s="1">
        <v>145563.90625</v>
      </c>
      <c r="CC29" s="1">
        <v>115818.51851851853</v>
      </c>
      <c r="CD29" s="1">
        <v>105481.82051282052</v>
      </c>
      <c r="CE29" s="1">
        <v>100464.78947368421</v>
      </c>
      <c r="CF29" s="1"/>
      <c r="CG29" s="1">
        <v>83939.962962962964</v>
      </c>
      <c r="CH29" s="1">
        <v>111652.18918918919</v>
      </c>
      <c r="CI29" s="1">
        <v>114565.38461538461</v>
      </c>
      <c r="CJ29" s="1">
        <v>104658.63636363637</v>
      </c>
      <c r="CK29" s="1">
        <v>108582.06521739131</v>
      </c>
      <c r="CL29" s="1">
        <v>104654.33333333333</v>
      </c>
      <c r="CM29" s="1">
        <v>114564.58333333333</v>
      </c>
      <c r="CN29" s="1">
        <v>104834.66666666667</v>
      </c>
      <c r="CO29" s="1">
        <v>99917.528846153844</v>
      </c>
      <c r="CP29" s="1">
        <v>86010</v>
      </c>
      <c r="CQ29" s="1">
        <v>92083.888888888891</v>
      </c>
      <c r="CR29" s="1">
        <v>90133.476190476184</v>
      </c>
      <c r="CS29" s="9">
        <v>106589.33962264151</v>
      </c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9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9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9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9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9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9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9"/>
      <c r="HW29" s="1"/>
      <c r="HX29" s="1"/>
      <c r="HY29" s="1">
        <v>114620.40206185567</v>
      </c>
      <c r="HZ29" s="1">
        <v>98949.455159112826</v>
      </c>
      <c r="IA29" s="1">
        <v>107706.97225572979</v>
      </c>
      <c r="IB29" s="1">
        <v>106150.54368932039</v>
      </c>
      <c r="IC29" s="1">
        <v>88876.706504065034</v>
      </c>
      <c r="ID29" s="1">
        <v>91802.725000000006</v>
      </c>
      <c r="IE29" s="1">
        <v>105325.9978308026</v>
      </c>
      <c r="IF29" s="1">
        <v>102064.76970633694</v>
      </c>
      <c r="IG29" s="1">
        <v>100905.82525697503</v>
      </c>
      <c r="IH29" s="1">
        <v>144363.77915632754</v>
      </c>
      <c r="II29" s="1">
        <v>106614.19561243145</v>
      </c>
      <c r="IJ29" s="1">
        <v>123152.36298932384</v>
      </c>
      <c r="IK29" s="1">
        <v>103937.26634958384</v>
      </c>
      <c r="IL29" s="1">
        <v>85755.316546762595</v>
      </c>
      <c r="IM29" s="1">
        <v>98090.416666666672</v>
      </c>
      <c r="IN29" s="1">
        <v>88924.085778781038</v>
      </c>
      <c r="IO29" s="1">
        <v>102701.71418320975</v>
      </c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</row>
    <row r="30" spans="1:268" x14ac:dyDescent="0.4">
      <c r="A30" t="s">
        <v>43</v>
      </c>
      <c r="B30" t="s">
        <v>45</v>
      </c>
      <c r="D30" s="1"/>
      <c r="E30" s="1">
        <v>32878.013245033115</v>
      </c>
      <c r="F30" s="1">
        <v>22834.504873294347</v>
      </c>
      <c r="G30" s="1">
        <v>34941.502793296087</v>
      </c>
      <c r="H30" s="1">
        <v>31976.363636363636</v>
      </c>
      <c r="I30" s="1">
        <v>22364.46815286624</v>
      </c>
      <c r="J30" s="1">
        <v>23092.356973995273</v>
      </c>
      <c r="K30" s="1">
        <v>24069.815242494227</v>
      </c>
      <c r="L30" s="1">
        <v>22145.778301886792</v>
      </c>
      <c r="M30" s="1">
        <v>38226.663507109006</v>
      </c>
      <c r="N30" s="1">
        <v>37563.174157303372</v>
      </c>
      <c r="O30" s="1">
        <v>30815.142061281338</v>
      </c>
      <c r="P30" s="1">
        <v>25098.742574257427</v>
      </c>
      <c r="Q30" s="1">
        <v>22698.919382504289</v>
      </c>
      <c r="R30" s="1">
        <v>19947.22972972973</v>
      </c>
      <c r="S30" s="1">
        <v>27871.705882352941</v>
      </c>
      <c r="T30" s="1">
        <v>23687.920199501248</v>
      </c>
      <c r="U30" s="9">
        <v>27683.524995675489</v>
      </c>
      <c r="V30" s="1"/>
      <c r="W30" s="1"/>
      <c r="X30" s="1">
        <v>26222.729411764707</v>
      </c>
      <c r="Y30" s="1">
        <v>23522.675675675677</v>
      </c>
      <c r="Z30" s="1">
        <v>26452.423444976077</v>
      </c>
      <c r="AA30" s="1">
        <v>22846.153846153848</v>
      </c>
      <c r="AB30" s="1">
        <v>22879.024793388431</v>
      </c>
      <c r="AC30" s="1">
        <v>23650.808333333334</v>
      </c>
      <c r="AD30" s="1">
        <v>29137.894117647058</v>
      </c>
      <c r="AE30" s="1">
        <v>21813.082872928178</v>
      </c>
      <c r="AF30" s="1">
        <v>29919.272251308899</v>
      </c>
      <c r="AG30" s="1">
        <v>29715.799043062201</v>
      </c>
      <c r="AH30" s="1">
        <v>24282.758620689656</v>
      </c>
      <c r="AI30" s="1">
        <v>29150</v>
      </c>
      <c r="AJ30" s="1">
        <v>30601.401162790698</v>
      </c>
      <c r="AK30" s="1">
        <v>20029.974576271186</v>
      </c>
      <c r="AL30" s="1">
        <v>21566.941176470587</v>
      </c>
      <c r="AM30" s="1">
        <v>20410.235294117647</v>
      </c>
      <c r="AN30" s="9">
        <v>25578.239726027397</v>
      </c>
      <c r="AO30" s="1"/>
      <c r="AP30" s="1"/>
      <c r="AQ30" s="1">
        <v>26742.211764705884</v>
      </c>
      <c r="AR30" s="1">
        <v>22802.9126984127</v>
      </c>
      <c r="AS30" s="1">
        <v>33250.669811320753</v>
      </c>
      <c r="AT30" s="1">
        <v>19136.363636363636</v>
      </c>
      <c r="AU30" s="1">
        <v>25425.503703703704</v>
      </c>
      <c r="AV30" s="1">
        <v>25021.60616438356</v>
      </c>
      <c r="AW30" s="1">
        <v>26336.310756972111</v>
      </c>
      <c r="AX30" s="1">
        <v>25650.783505154639</v>
      </c>
      <c r="AY30" s="1">
        <v>26582.960396039605</v>
      </c>
      <c r="AZ30" s="1">
        <v>29627.195744680852</v>
      </c>
      <c r="BA30" s="1">
        <v>24642.964412811387</v>
      </c>
      <c r="BB30" s="1">
        <v>32263.909090909092</v>
      </c>
      <c r="BC30" s="1">
        <v>27353.940149625934</v>
      </c>
      <c r="BD30" s="1">
        <v>19533.941176470587</v>
      </c>
      <c r="BE30" s="1">
        <v>29586.44</v>
      </c>
      <c r="BF30" s="1">
        <v>23602.340277777777</v>
      </c>
      <c r="BG30" s="9">
        <v>26822.865781710916</v>
      </c>
      <c r="BI30" s="1">
        <v>66051.920289855072</v>
      </c>
      <c r="BJ30" s="1">
        <v>82154.553956834527</v>
      </c>
      <c r="BK30" s="1">
        <v>21616.8087431694</v>
      </c>
      <c r="BL30" s="1">
        <v>24645.058282208589</v>
      </c>
      <c r="BM30" s="1">
        <v>27702.705882352941</v>
      </c>
      <c r="BN30" s="1">
        <v>23214.501440922191</v>
      </c>
      <c r="BO30" s="1">
        <v>25027.341107871722</v>
      </c>
      <c r="BP30" s="1">
        <v>24096.343949044585</v>
      </c>
      <c r="BQ30" s="1">
        <v>24724.813829787236</v>
      </c>
      <c r="BR30" s="1">
        <v>29662.445859872612</v>
      </c>
      <c r="BS30" s="1">
        <v>22866.528205128205</v>
      </c>
      <c r="BT30" s="1">
        <v>32990.784883720931</v>
      </c>
      <c r="BU30" s="1">
        <v>27814.145299145301</v>
      </c>
      <c r="BV30" s="1">
        <v>28204.696734059096</v>
      </c>
      <c r="BW30" s="1">
        <v>23065.571428571428</v>
      </c>
      <c r="BX30" s="1">
        <v>25971.542857142857</v>
      </c>
      <c r="BY30" s="1">
        <v>21316.730639730638</v>
      </c>
      <c r="BZ30" s="9">
        <v>35295.46238085581</v>
      </c>
      <c r="CA30" s="1"/>
      <c r="CB30" s="1">
        <v>66734.125874125879</v>
      </c>
      <c r="CC30" s="1">
        <v>32752.676829268294</v>
      </c>
      <c r="CD30" s="1">
        <v>24433.129568106313</v>
      </c>
      <c r="CE30" s="1">
        <v>21827.048338368579</v>
      </c>
      <c r="CF30" s="1">
        <v>28416.666666666668</v>
      </c>
      <c r="CG30" s="1">
        <v>23947.592057761733</v>
      </c>
      <c r="CH30" s="1">
        <v>25250.439393939392</v>
      </c>
      <c r="CI30" s="1">
        <v>27691.349282296651</v>
      </c>
      <c r="CJ30" s="1">
        <v>25030.578199052132</v>
      </c>
      <c r="CK30" s="1">
        <v>21838.272413793104</v>
      </c>
      <c r="CL30" s="1">
        <v>22502.941176470587</v>
      </c>
      <c r="CM30" s="1">
        <v>27197.394136807816</v>
      </c>
      <c r="CN30" s="1">
        <v>24995.146666666667</v>
      </c>
      <c r="CO30" s="1">
        <v>22950.442857142858</v>
      </c>
      <c r="CP30" s="1">
        <v>20820.813008130081</v>
      </c>
      <c r="CQ30" s="1">
        <v>27143.071428571428</v>
      </c>
      <c r="CR30" s="1">
        <v>30299.606694560669</v>
      </c>
      <c r="CS30" s="9">
        <v>26627.851999999999</v>
      </c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9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9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9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9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9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9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9"/>
      <c r="HW30" s="1"/>
      <c r="HX30" s="1"/>
      <c r="HY30" s="1">
        <v>34714.577241379309</v>
      </c>
      <c r="HZ30" s="1">
        <v>21887.452768729643</v>
      </c>
      <c r="IA30" s="1">
        <v>23192.473754329869</v>
      </c>
      <c r="IB30" s="1">
        <v>31041.827906976745</v>
      </c>
      <c r="IC30" s="1">
        <v>23247.391995614034</v>
      </c>
      <c r="ID30" s="1">
        <v>23822.910143910143</v>
      </c>
      <c r="IE30" s="1">
        <v>25301.356253889233</v>
      </c>
      <c r="IF30" s="1">
        <v>22961.736557199565</v>
      </c>
      <c r="IG30" s="1">
        <v>26491.379679144386</v>
      </c>
      <c r="IH30" s="1">
        <v>28151.578262694082</v>
      </c>
      <c r="II30" s="1">
        <v>32097.260445943415</v>
      </c>
      <c r="IJ30" s="1">
        <v>43241.079563182524</v>
      </c>
      <c r="IK30" s="1">
        <v>23413.844567042455</v>
      </c>
      <c r="IL30" s="1">
        <v>21495.871856287424</v>
      </c>
      <c r="IM30" s="1">
        <v>22137.825892857141</v>
      </c>
      <c r="IN30" s="1">
        <v>22039.704255980119</v>
      </c>
      <c r="IO30" s="1">
        <v>26124.305788091657</v>
      </c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</row>
    <row r="31" spans="1:268" s="6" customFormat="1" x14ac:dyDescent="0.4">
      <c r="A31" s="6" t="s">
        <v>43</v>
      </c>
      <c r="B31" s="6" t="s">
        <v>19</v>
      </c>
      <c r="D31" s="7"/>
      <c r="E31" s="7">
        <v>208000</v>
      </c>
      <c r="F31" s="7">
        <v>238400</v>
      </c>
      <c r="G31" s="7"/>
      <c r="H31" s="7">
        <v>183333.33333333334</v>
      </c>
      <c r="I31" s="7"/>
      <c r="J31" s="7">
        <v>175000</v>
      </c>
      <c r="K31" s="7">
        <v>188459.5</v>
      </c>
      <c r="L31" s="7">
        <v>200000</v>
      </c>
      <c r="M31" s="7">
        <v>190000</v>
      </c>
      <c r="N31" s="7"/>
      <c r="O31" s="7"/>
      <c r="P31" s="7"/>
      <c r="Q31" s="7">
        <v>150000</v>
      </c>
      <c r="R31" s="7">
        <v>190602.25</v>
      </c>
      <c r="S31" s="7">
        <v>181810.66666666666</v>
      </c>
      <c r="T31" s="7"/>
      <c r="U31" s="9">
        <v>197991.60465116278</v>
      </c>
      <c r="V31" s="7"/>
      <c r="W31" s="7"/>
      <c r="X31" s="7"/>
      <c r="Y31" s="7">
        <v>210000</v>
      </c>
      <c r="Z31" s="7">
        <v>475000</v>
      </c>
      <c r="AA31" s="7"/>
      <c r="AB31" s="7">
        <v>180000</v>
      </c>
      <c r="AC31" s="7">
        <v>200000</v>
      </c>
      <c r="AD31" s="7">
        <v>185000</v>
      </c>
      <c r="AE31" s="7">
        <v>190000</v>
      </c>
      <c r="AF31" s="7">
        <v>160000</v>
      </c>
      <c r="AG31" s="7"/>
      <c r="AH31" s="7">
        <v>200000</v>
      </c>
      <c r="AI31" s="7"/>
      <c r="AJ31" s="7"/>
      <c r="AK31" s="7"/>
      <c r="AL31" s="7"/>
      <c r="AM31" s="7">
        <v>130000</v>
      </c>
      <c r="AN31" s="9">
        <v>293750</v>
      </c>
      <c r="AO31" s="7"/>
      <c r="AP31" s="7"/>
      <c r="AQ31" s="7"/>
      <c r="AR31" s="7">
        <v>266250</v>
      </c>
      <c r="AS31" s="7">
        <v>200000</v>
      </c>
      <c r="AT31" s="7">
        <v>200000</v>
      </c>
      <c r="AU31" s="7"/>
      <c r="AV31" s="7">
        <v>320000</v>
      </c>
      <c r="AW31" s="7">
        <v>198977.25</v>
      </c>
      <c r="AX31" s="7">
        <v>166666.66666666666</v>
      </c>
      <c r="AY31" s="7"/>
      <c r="AZ31" s="7"/>
      <c r="BA31" s="7">
        <v>207500</v>
      </c>
      <c r="BB31" s="7"/>
      <c r="BC31" s="7"/>
      <c r="BD31" s="7">
        <v>205454.5</v>
      </c>
      <c r="BE31" s="7">
        <v>190000</v>
      </c>
      <c r="BF31" s="7"/>
      <c r="BG31" s="9">
        <v>231082.88235294117</v>
      </c>
      <c r="BI31" s="7"/>
      <c r="BJ31" s="7">
        <v>230000</v>
      </c>
      <c r="BK31" s="7">
        <v>213000</v>
      </c>
      <c r="BL31" s="7">
        <v>201500.05555555556</v>
      </c>
      <c r="BM31" s="7">
        <v>194666.66666666666</v>
      </c>
      <c r="BN31" s="7"/>
      <c r="BO31" s="7">
        <v>142857.14285714287</v>
      </c>
      <c r="BP31" s="7">
        <v>195227.25</v>
      </c>
      <c r="BQ31" s="7">
        <v>220000</v>
      </c>
      <c r="BR31" s="7">
        <v>215000</v>
      </c>
      <c r="BS31" s="7"/>
      <c r="BT31" s="7">
        <v>210000</v>
      </c>
      <c r="BU31" s="7">
        <v>230000</v>
      </c>
      <c r="BV31" s="7"/>
      <c r="BW31" s="7">
        <v>163636</v>
      </c>
      <c r="BX31" s="7"/>
      <c r="BY31" s="7"/>
      <c r="BZ31" s="9">
        <v>196460.12244897959</v>
      </c>
      <c r="CA31" s="7"/>
      <c r="CB31" s="7">
        <v>398000</v>
      </c>
      <c r="CC31" s="7">
        <v>199363.63636363635</v>
      </c>
      <c r="CD31" s="7">
        <v>207625</v>
      </c>
      <c r="CE31" s="7">
        <v>364000</v>
      </c>
      <c r="CF31" s="7">
        <v>200000</v>
      </c>
      <c r="CG31" s="7">
        <v>200000</v>
      </c>
      <c r="CH31" s="7">
        <v>165000</v>
      </c>
      <c r="CI31" s="7">
        <v>165454.5</v>
      </c>
      <c r="CJ31" s="7"/>
      <c r="CK31" s="7"/>
      <c r="CL31" s="7">
        <v>183333.33333333334</v>
      </c>
      <c r="CM31" s="7">
        <v>190000</v>
      </c>
      <c r="CN31" s="7">
        <v>181818</v>
      </c>
      <c r="CO31" s="7">
        <v>220000</v>
      </c>
      <c r="CP31" s="7"/>
      <c r="CQ31" s="7">
        <v>160000</v>
      </c>
      <c r="CR31" s="7"/>
      <c r="CS31" s="9">
        <v>221991.33333333334</v>
      </c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9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9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9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9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9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9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9"/>
      <c r="HW31" s="7"/>
      <c r="HX31" s="7">
        <v>464600</v>
      </c>
      <c r="HY31" s="7">
        <v>242019.38235294117</v>
      </c>
      <c r="HZ31" s="7">
        <v>210388.17460317462</v>
      </c>
      <c r="IA31" s="7">
        <v>190458.03076923077</v>
      </c>
      <c r="IB31" s="7">
        <v>218036.61538461538</v>
      </c>
      <c r="IC31" s="7">
        <v>174825.75</v>
      </c>
      <c r="ID31" s="7">
        <v>221473</v>
      </c>
      <c r="IE31" s="7">
        <v>208343.8275862069</v>
      </c>
      <c r="IF31" s="7">
        <v>193595</v>
      </c>
      <c r="IG31" s="7">
        <v>196339.0294117647</v>
      </c>
      <c r="IH31" s="7">
        <v>184625</v>
      </c>
      <c r="II31" s="7">
        <v>228080</v>
      </c>
      <c r="IJ31" s="7">
        <v>179090.88888888888</v>
      </c>
      <c r="IK31" s="7">
        <v>199982.76842105263</v>
      </c>
      <c r="IL31" s="7">
        <v>174915.8148148148</v>
      </c>
      <c r="IM31" s="7">
        <v>166274.0294117647</v>
      </c>
      <c r="IN31" s="7">
        <v>185916.66666666666</v>
      </c>
      <c r="IO31" s="7">
        <v>208742.91919191918</v>
      </c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</row>
    <row r="32" spans="1:268" x14ac:dyDescent="0.4">
      <c r="A32" t="s">
        <v>43</v>
      </c>
      <c r="B32" t="s">
        <v>27</v>
      </c>
      <c r="D32" s="1">
        <v>262947.36842105264</v>
      </c>
      <c r="E32" s="1">
        <v>222621.21212121213</v>
      </c>
      <c r="F32" s="1">
        <v>154753.28571428571</v>
      </c>
      <c r="G32" s="1"/>
      <c r="H32" s="1">
        <v>163333.33333333334</v>
      </c>
      <c r="I32" s="1">
        <v>123333.33333333333</v>
      </c>
      <c r="J32" s="1">
        <v>93519.428571428565</v>
      </c>
      <c r="K32" s="1">
        <v>153500</v>
      </c>
      <c r="L32" s="1">
        <v>95000</v>
      </c>
      <c r="M32" s="1">
        <v>108000</v>
      </c>
      <c r="N32" s="1">
        <v>179000</v>
      </c>
      <c r="O32" s="1">
        <v>100000</v>
      </c>
      <c r="P32" s="1">
        <v>102500</v>
      </c>
      <c r="Q32" s="1">
        <v>99999.5</v>
      </c>
      <c r="R32" s="1">
        <v>82000</v>
      </c>
      <c r="S32" s="1">
        <v>93181.75</v>
      </c>
      <c r="T32" s="1">
        <v>80000</v>
      </c>
      <c r="U32" s="9">
        <v>169768.22674418605</v>
      </c>
      <c r="V32" s="1"/>
      <c r="W32" s="1"/>
      <c r="X32" s="1"/>
      <c r="Y32" s="1">
        <v>133200</v>
      </c>
      <c r="Z32" s="1"/>
      <c r="AA32" s="1">
        <v>98750</v>
      </c>
      <c r="AB32" s="1">
        <v>104113.625</v>
      </c>
      <c r="AC32" s="1">
        <v>125000</v>
      </c>
      <c r="AD32" s="1">
        <v>137181.81818181818</v>
      </c>
      <c r="AE32" s="1">
        <v>72727</v>
      </c>
      <c r="AF32" s="1">
        <v>141111.11111111112</v>
      </c>
      <c r="AG32" s="1"/>
      <c r="AH32" s="1">
        <v>101500</v>
      </c>
      <c r="AI32" s="1">
        <v>110000</v>
      </c>
      <c r="AJ32" s="1">
        <v>110000</v>
      </c>
      <c r="AK32" s="1"/>
      <c r="AL32" s="1">
        <v>92500</v>
      </c>
      <c r="AM32" s="1"/>
      <c r="AN32" s="9">
        <v>118226.3870967742</v>
      </c>
      <c r="AO32" s="1"/>
      <c r="AP32" s="1">
        <v>200000</v>
      </c>
      <c r="AQ32" s="1"/>
      <c r="AR32" s="1">
        <v>134308.33333333334</v>
      </c>
      <c r="AS32" s="1">
        <v>146500</v>
      </c>
      <c r="AT32" s="1">
        <v>97727.23529411765</v>
      </c>
      <c r="AU32" s="1"/>
      <c r="AV32" s="1">
        <v>133272.70000000001</v>
      </c>
      <c r="AW32" s="1">
        <v>89740.142857142855</v>
      </c>
      <c r="AX32" s="1"/>
      <c r="AY32" s="1">
        <v>118333.33333333333</v>
      </c>
      <c r="AZ32" s="1">
        <v>73500</v>
      </c>
      <c r="BA32" s="1">
        <v>100000</v>
      </c>
      <c r="BB32" s="1">
        <v>125909.09090909091</v>
      </c>
      <c r="BC32" s="1">
        <v>113333.33333333333</v>
      </c>
      <c r="BD32" s="1">
        <v>100000</v>
      </c>
      <c r="BE32" s="1">
        <v>102500</v>
      </c>
      <c r="BF32" s="1"/>
      <c r="BG32" s="9">
        <v>107282.96621621621</v>
      </c>
      <c r="BI32" s="1">
        <v>190000</v>
      </c>
      <c r="BJ32" s="1">
        <v>130000</v>
      </c>
      <c r="BK32" s="1">
        <v>128666.66666666667</v>
      </c>
      <c r="BL32" s="1">
        <v>123181.81818181818</v>
      </c>
      <c r="BM32" s="1">
        <v>93333.333333333328</v>
      </c>
      <c r="BN32" s="1">
        <v>100000</v>
      </c>
      <c r="BO32" s="1">
        <v>128750</v>
      </c>
      <c r="BP32" s="1">
        <v>155384.61538461538</v>
      </c>
      <c r="BQ32" s="1">
        <v>90000</v>
      </c>
      <c r="BR32" s="1">
        <v>116923.07692307692</v>
      </c>
      <c r="BS32" s="1">
        <v>110000</v>
      </c>
      <c r="BT32" s="1">
        <v>182500</v>
      </c>
      <c r="BU32" s="1">
        <v>117333.33333333333</v>
      </c>
      <c r="BV32" s="1">
        <v>110000</v>
      </c>
      <c r="BW32" s="1">
        <v>89000</v>
      </c>
      <c r="BX32" s="1">
        <v>65454.583333333336</v>
      </c>
      <c r="BY32" s="1"/>
      <c r="BZ32" s="9">
        <v>129910.79439252337</v>
      </c>
      <c r="CA32" s="1"/>
      <c r="CB32" s="1">
        <v>196363.63636363635</v>
      </c>
      <c r="CC32" s="1">
        <v>133166.66666666666</v>
      </c>
      <c r="CD32" s="1">
        <v>141581.79999999999</v>
      </c>
      <c r="CE32" s="1">
        <v>141750</v>
      </c>
      <c r="CF32" s="1">
        <v>97575.666666666672</v>
      </c>
      <c r="CG32" s="1">
        <v>60000</v>
      </c>
      <c r="CH32" s="1">
        <v>84978.333333333328</v>
      </c>
      <c r="CI32" s="1">
        <v>102500</v>
      </c>
      <c r="CJ32" s="1">
        <v>96666.666666666672</v>
      </c>
      <c r="CK32" s="1">
        <v>100000</v>
      </c>
      <c r="CL32" s="1">
        <v>114285.71428571429</v>
      </c>
      <c r="CM32" s="1">
        <v>120526.31578947368</v>
      </c>
      <c r="CN32" s="1">
        <v>105000</v>
      </c>
      <c r="CO32" s="1">
        <v>265789.4736842105</v>
      </c>
      <c r="CP32" s="1">
        <v>87300</v>
      </c>
      <c r="CQ32" s="1">
        <v>82727.454545454544</v>
      </c>
      <c r="CR32" s="1">
        <v>110000</v>
      </c>
      <c r="CS32" s="9">
        <v>134752.04166666666</v>
      </c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9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9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9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9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9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9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9"/>
      <c r="HW32" s="1"/>
      <c r="HX32" s="1">
        <v>205034.7901234568</v>
      </c>
      <c r="HY32" s="1">
        <v>154283.59836065574</v>
      </c>
      <c r="HZ32" s="1">
        <v>142938.6</v>
      </c>
      <c r="IA32" s="1">
        <v>142395.84105960265</v>
      </c>
      <c r="IB32" s="1">
        <v>114696.42105263157</v>
      </c>
      <c r="IC32" s="1">
        <v>112584.14754098361</v>
      </c>
      <c r="ID32" s="1">
        <v>141899.64492753622</v>
      </c>
      <c r="IE32" s="1">
        <v>114366.25766871165</v>
      </c>
      <c r="IF32" s="1">
        <v>106669.23404255319</v>
      </c>
      <c r="IG32" s="1">
        <v>127294.41228070176</v>
      </c>
      <c r="IH32" s="1">
        <v>140265.5172413793</v>
      </c>
      <c r="II32" s="1">
        <v>113903.22580645161</v>
      </c>
      <c r="IJ32" s="1">
        <v>104961.5925925926</v>
      </c>
      <c r="IK32" s="1">
        <v>178963.90277777778</v>
      </c>
      <c r="IL32" s="1">
        <v>98229.688888888893</v>
      </c>
      <c r="IM32" s="1">
        <v>100247.30232558139</v>
      </c>
      <c r="IN32" s="1">
        <v>97257.234042553187</v>
      </c>
      <c r="IO32" s="1">
        <v>127426.02088277171</v>
      </c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</row>
    <row r="33" spans="1:268" x14ac:dyDescent="0.4">
      <c r="A33" t="s">
        <v>43</v>
      </c>
      <c r="B33" t="s">
        <v>51</v>
      </c>
      <c r="D33" s="1"/>
      <c r="E33" s="1">
        <v>98700</v>
      </c>
      <c r="F33" s="1">
        <v>90475</v>
      </c>
      <c r="G33" s="1">
        <v>85454</v>
      </c>
      <c r="H33" s="1"/>
      <c r="I33" s="1"/>
      <c r="J33" s="1"/>
      <c r="K33" s="1">
        <v>95153.5</v>
      </c>
      <c r="L33" s="1">
        <v>90081.8</v>
      </c>
      <c r="M33" s="1">
        <v>72669.230769230766</v>
      </c>
      <c r="N33" s="1"/>
      <c r="O33" s="1">
        <v>91469.230769230766</v>
      </c>
      <c r="P33" s="1"/>
      <c r="Q33" s="1">
        <v>98700</v>
      </c>
      <c r="R33" s="1">
        <v>89300</v>
      </c>
      <c r="S33" s="1"/>
      <c r="T33" s="1">
        <v>94000</v>
      </c>
      <c r="U33" s="9">
        <v>86362.954545454544</v>
      </c>
      <c r="V33" s="1"/>
      <c r="W33" s="1"/>
      <c r="X33" s="1">
        <v>104966.66666666667</v>
      </c>
      <c r="Y33" s="1">
        <v>94000</v>
      </c>
      <c r="Z33" s="1"/>
      <c r="AA33" s="1">
        <v>84600</v>
      </c>
      <c r="AB33" s="1">
        <v>73704.5</v>
      </c>
      <c r="AC33" s="1"/>
      <c r="AD33" s="1">
        <v>71781.666666666672</v>
      </c>
      <c r="AE33" s="1"/>
      <c r="AF33" s="1">
        <v>78725</v>
      </c>
      <c r="AG33" s="1">
        <v>89300</v>
      </c>
      <c r="AH33" s="1">
        <v>76375</v>
      </c>
      <c r="AI33" s="1"/>
      <c r="AJ33" s="1"/>
      <c r="AK33" s="1">
        <v>84124.25</v>
      </c>
      <c r="AL33" s="1"/>
      <c r="AM33" s="1"/>
      <c r="AN33" s="9">
        <v>83878.619047619053</v>
      </c>
      <c r="AO33" s="1"/>
      <c r="AP33" s="1"/>
      <c r="AQ33" s="1">
        <v>131600</v>
      </c>
      <c r="AR33" s="1">
        <v>92833.333333333328</v>
      </c>
      <c r="AS33" s="1">
        <v>68791</v>
      </c>
      <c r="AT33" s="1"/>
      <c r="AU33" s="1"/>
      <c r="AV33" s="1">
        <v>111050</v>
      </c>
      <c r="AW33" s="1">
        <v>98700</v>
      </c>
      <c r="AX33" s="1">
        <v>94000</v>
      </c>
      <c r="AY33" s="1">
        <v>137960</v>
      </c>
      <c r="AZ33" s="1">
        <v>85200</v>
      </c>
      <c r="BA33" s="1">
        <v>78333.333333333328</v>
      </c>
      <c r="BB33" s="1">
        <v>170000</v>
      </c>
      <c r="BC33" s="1">
        <v>104600</v>
      </c>
      <c r="BD33" s="1">
        <v>75200</v>
      </c>
      <c r="BE33" s="1"/>
      <c r="BF33" s="1">
        <v>95200</v>
      </c>
      <c r="BG33" s="9">
        <v>106084.26923076923</v>
      </c>
      <c r="BI33" s="1"/>
      <c r="BJ33" s="1">
        <v>90500</v>
      </c>
      <c r="BK33" s="1">
        <v>82250</v>
      </c>
      <c r="BL33" s="1">
        <v>83420</v>
      </c>
      <c r="BM33" s="1"/>
      <c r="BN33" s="1"/>
      <c r="BO33" s="1"/>
      <c r="BP33" s="1"/>
      <c r="BQ33" s="1">
        <v>96350</v>
      </c>
      <c r="BR33" s="1">
        <v>96450.555555555562</v>
      </c>
      <c r="BS33" s="1"/>
      <c r="BT33" s="1">
        <v>85200</v>
      </c>
      <c r="BU33" s="1"/>
      <c r="BV33" s="1">
        <v>95175.333333333328</v>
      </c>
      <c r="BW33" s="1">
        <v>70500</v>
      </c>
      <c r="BX33" s="1"/>
      <c r="BY33" s="1">
        <v>90500</v>
      </c>
      <c r="BZ33" s="9">
        <v>88623.482758620696</v>
      </c>
      <c r="CA33" s="1"/>
      <c r="CB33" s="1"/>
      <c r="CC33" s="1">
        <v>99839.333333333328</v>
      </c>
      <c r="CD33" s="1">
        <v>98700</v>
      </c>
      <c r="CE33" s="1"/>
      <c r="CF33" s="1"/>
      <c r="CG33" s="1">
        <v>89624.888888888891</v>
      </c>
      <c r="CH33" s="1">
        <v>94000</v>
      </c>
      <c r="CI33" s="1"/>
      <c r="CJ33" s="1"/>
      <c r="CK33" s="1">
        <v>96360</v>
      </c>
      <c r="CL33" s="1">
        <v>89300</v>
      </c>
      <c r="CM33" s="1">
        <v>115200</v>
      </c>
      <c r="CN33" s="1"/>
      <c r="CO33" s="1">
        <v>95566.666666666672</v>
      </c>
      <c r="CP33" s="1"/>
      <c r="CQ33" s="1"/>
      <c r="CR33" s="1"/>
      <c r="CS33" s="9">
        <v>94660.083333333328</v>
      </c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9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9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9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9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9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9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9"/>
      <c r="HW33" s="1"/>
      <c r="HX33" s="1"/>
      <c r="HY33" s="1">
        <v>107485.44444444444</v>
      </c>
      <c r="HZ33" s="1">
        <v>89269</v>
      </c>
      <c r="IA33" s="1">
        <v>128484.25</v>
      </c>
      <c r="IB33" s="1">
        <v>119958.33333333333</v>
      </c>
      <c r="IC33" s="1">
        <v>97502.739130434784</v>
      </c>
      <c r="ID33" s="1">
        <v>88754.111111111109</v>
      </c>
      <c r="IE33" s="1">
        <v>99933.85</v>
      </c>
      <c r="IF33" s="1">
        <v>102294.97468354431</v>
      </c>
      <c r="IG33" s="1">
        <v>96190.730769230766</v>
      </c>
      <c r="IH33" s="1">
        <v>86988.840909090912</v>
      </c>
      <c r="II33" s="1">
        <v>94790.595238095237</v>
      </c>
      <c r="IJ33" s="1">
        <v>160000</v>
      </c>
      <c r="IK33" s="1">
        <v>105853.02564102564</v>
      </c>
      <c r="IL33" s="1">
        <v>87402.333333333328</v>
      </c>
      <c r="IM33" s="1">
        <v>92764</v>
      </c>
      <c r="IN33" s="1">
        <v>102000.48387096774</v>
      </c>
      <c r="IO33" s="1">
        <v>100165.5</v>
      </c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</row>
    <row r="34" spans="1:268" x14ac:dyDescent="0.4">
      <c r="A34" t="s">
        <v>43</v>
      </c>
      <c r="B34" t="s">
        <v>28</v>
      </c>
      <c r="D34" s="1"/>
      <c r="E34" s="1">
        <v>25000</v>
      </c>
      <c r="F34" s="1">
        <v>28000</v>
      </c>
      <c r="G34" s="1">
        <v>22153.846153846152</v>
      </c>
      <c r="H34" s="1">
        <v>39000</v>
      </c>
      <c r="I34" s="1">
        <v>35549.428571428572</v>
      </c>
      <c r="J34" s="1">
        <v>23000</v>
      </c>
      <c r="K34" s="1">
        <v>29545.5</v>
      </c>
      <c r="L34" s="1">
        <v>35400</v>
      </c>
      <c r="M34" s="1">
        <v>49790.48</v>
      </c>
      <c r="N34" s="1">
        <v>42343</v>
      </c>
      <c r="O34" s="1">
        <v>102904</v>
      </c>
      <c r="P34" s="1">
        <v>27697</v>
      </c>
      <c r="Q34" s="1">
        <v>22197.297297297297</v>
      </c>
      <c r="R34" s="1">
        <v>27750</v>
      </c>
      <c r="S34" s="1">
        <v>19818</v>
      </c>
      <c r="T34" s="1">
        <v>36975</v>
      </c>
      <c r="U34" s="9">
        <v>57557.706744868032</v>
      </c>
      <c r="V34" s="1"/>
      <c r="W34" s="1"/>
      <c r="X34" s="1">
        <v>104752.07792207792</v>
      </c>
      <c r="Y34" s="1">
        <v>18860.900000000001</v>
      </c>
      <c r="Z34" s="1">
        <v>18000</v>
      </c>
      <c r="AA34" s="1">
        <v>33000</v>
      </c>
      <c r="AB34" s="1">
        <v>33000</v>
      </c>
      <c r="AC34" s="1">
        <v>29513</v>
      </c>
      <c r="AD34" s="1">
        <v>37500</v>
      </c>
      <c r="AE34" s="1">
        <v>21818</v>
      </c>
      <c r="AF34" s="1">
        <v>25825</v>
      </c>
      <c r="AG34" s="1">
        <v>42250</v>
      </c>
      <c r="AH34" s="1">
        <v>44166.666666666664</v>
      </c>
      <c r="AI34" s="1"/>
      <c r="AJ34" s="1">
        <v>29010.428571428572</v>
      </c>
      <c r="AK34" s="1"/>
      <c r="AL34" s="1"/>
      <c r="AM34" s="1">
        <v>19231.75</v>
      </c>
      <c r="AN34" s="9">
        <v>66176.739130434784</v>
      </c>
      <c r="AO34" s="1"/>
      <c r="AP34" s="1"/>
      <c r="AQ34" s="1">
        <v>28842.857142857141</v>
      </c>
      <c r="AR34" s="1">
        <v>27625</v>
      </c>
      <c r="AS34" s="1">
        <v>20360</v>
      </c>
      <c r="AT34" s="1"/>
      <c r="AU34" s="1">
        <v>28698.75</v>
      </c>
      <c r="AV34" s="1">
        <v>24212.166666666668</v>
      </c>
      <c r="AW34" s="1">
        <v>41500</v>
      </c>
      <c r="AX34" s="1">
        <v>31564.285714285714</v>
      </c>
      <c r="AY34" s="1">
        <v>22509.200000000001</v>
      </c>
      <c r="AZ34" s="1">
        <v>18000</v>
      </c>
      <c r="BA34" s="1">
        <v>34853.846153846156</v>
      </c>
      <c r="BB34" s="1">
        <v>21316</v>
      </c>
      <c r="BC34" s="1"/>
      <c r="BD34" s="1"/>
      <c r="BE34" s="1"/>
      <c r="BF34" s="1">
        <v>18000</v>
      </c>
      <c r="BG34" s="9">
        <v>26681.608333333334</v>
      </c>
      <c r="BI34" s="1"/>
      <c r="BJ34" s="1">
        <v>28472.799999999999</v>
      </c>
      <c r="BK34" s="1">
        <v>22444.972222222223</v>
      </c>
      <c r="BL34" s="1">
        <v>54545.454545454544</v>
      </c>
      <c r="BM34" s="1">
        <v>30000</v>
      </c>
      <c r="BN34" s="1">
        <v>16000</v>
      </c>
      <c r="BO34" s="1">
        <v>24091</v>
      </c>
      <c r="BP34" s="1">
        <v>36666.666666666664</v>
      </c>
      <c r="BQ34" s="1">
        <v>30272.5</v>
      </c>
      <c r="BR34" s="1">
        <v>28952.380952380954</v>
      </c>
      <c r="BS34" s="1">
        <v>27000</v>
      </c>
      <c r="BT34" s="1">
        <v>24137.764705882353</v>
      </c>
      <c r="BU34" s="1">
        <v>21250</v>
      </c>
      <c r="BV34" s="1">
        <v>24772.093023255813</v>
      </c>
      <c r="BW34" s="1"/>
      <c r="BX34" s="1"/>
      <c r="BY34" s="1">
        <v>26000</v>
      </c>
      <c r="BZ34" s="9">
        <v>25937.26966292135</v>
      </c>
      <c r="CA34" s="1"/>
      <c r="CB34" s="1">
        <v>170857.14285714287</v>
      </c>
      <c r="CC34" s="1">
        <v>16000</v>
      </c>
      <c r="CD34" s="1">
        <v>18839.153846153848</v>
      </c>
      <c r="CE34" s="1">
        <v>33500</v>
      </c>
      <c r="CF34" s="1"/>
      <c r="CG34" s="1">
        <v>30000</v>
      </c>
      <c r="CH34" s="1">
        <v>24034.518518518518</v>
      </c>
      <c r="CI34" s="1">
        <v>19913.86842105263</v>
      </c>
      <c r="CJ34" s="1">
        <v>21000</v>
      </c>
      <c r="CK34" s="1">
        <v>39210.428571428572</v>
      </c>
      <c r="CL34" s="1">
        <v>33000</v>
      </c>
      <c r="CM34" s="1">
        <v>20815.78947368421</v>
      </c>
      <c r="CN34" s="1">
        <v>19091</v>
      </c>
      <c r="CO34" s="1">
        <v>22965.78947368421</v>
      </c>
      <c r="CP34" s="1">
        <v>16830.76923076923</v>
      </c>
      <c r="CQ34" s="1"/>
      <c r="CR34" s="1">
        <v>47400</v>
      </c>
      <c r="CS34" s="9">
        <v>30729.808724832215</v>
      </c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9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9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9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9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9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9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9"/>
      <c r="HW34" s="1"/>
      <c r="HX34" s="1"/>
      <c r="HY34" s="1">
        <v>24710.327272727274</v>
      </c>
      <c r="HZ34" s="1">
        <v>20346.357746478872</v>
      </c>
      <c r="IA34" s="1">
        <v>27927.092165898619</v>
      </c>
      <c r="IB34" s="1">
        <v>34169.517241379312</v>
      </c>
      <c r="IC34" s="1">
        <v>37225.147239263802</v>
      </c>
      <c r="ID34" s="1">
        <v>24581.719827586207</v>
      </c>
      <c r="IE34" s="1">
        <v>31403.987499999999</v>
      </c>
      <c r="IF34" s="1">
        <v>29339.168478260868</v>
      </c>
      <c r="IG34" s="1">
        <v>30361.48623853211</v>
      </c>
      <c r="IH34" s="1">
        <v>36450</v>
      </c>
      <c r="II34" s="1">
        <v>30704.700873362446</v>
      </c>
      <c r="IJ34" s="1">
        <v>27673.967213114753</v>
      </c>
      <c r="IK34" s="1">
        <v>33160.578260869566</v>
      </c>
      <c r="IL34" s="1">
        <v>25673.135416666668</v>
      </c>
      <c r="IM34" s="1">
        <v>23558.116279069767</v>
      </c>
      <c r="IN34" s="1">
        <v>29031.415584415583</v>
      </c>
      <c r="IO34" s="1">
        <v>29015.319929453264</v>
      </c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</row>
    <row r="35" spans="1:268" s="6" customFormat="1" x14ac:dyDescent="0.4">
      <c r="A35" s="6" t="s">
        <v>43</v>
      </c>
      <c r="B35" s="6" t="s">
        <v>13</v>
      </c>
      <c r="D35" s="7"/>
      <c r="E35" s="7">
        <v>180000</v>
      </c>
      <c r="F35" s="7">
        <v>199071.42857142858</v>
      </c>
      <c r="G35" s="7"/>
      <c r="H35" s="7">
        <v>448589.74358974356</v>
      </c>
      <c r="I35" s="7"/>
      <c r="J35" s="7">
        <v>242105.26315789475</v>
      </c>
      <c r="K35" s="7">
        <v>323191.48936170212</v>
      </c>
      <c r="L35" s="7">
        <v>383500</v>
      </c>
      <c r="M35" s="7">
        <v>190000</v>
      </c>
      <c r="N35" s="7">
        <v>410434.78260869568</v>
      </c>
      <c r="O35" s="7"/>
      <c r="P35" s="7">
        <v>193888.88888888888</v>
      </c>
      <c r="Q35" s="7"/>
      <c r="R35" s="7"/>
      <c r="S35" s="7">
        <v>206666.66666666666</v>
      </c>
      <c r="T35" s="7"/>
      <c r="U35" s="9">
        <v>336898.20359281439</v>
      </c>
      <c r="V35" s="7"/>
      <c r="W35" s="7"/>
      <c r="X35" s="7"/>
      <c r="Y35" s="7">
        <v>380526.31578947371</v>
      </c>
      <c r="Z35" s="7">
        <v>210000</v>
      </c>
      <c r="AA35" s="7">
        <v>237500</v>
      </c>
      <c r="AB35" s="7"/>
      <c r="AC35" s="7"/>
      <c r="AD35" s="7">
        <v>190000</v>
      </c>
      <c r="AE35" s="7">
        <v>181818</v>
      </c>
      <c r="AF35" s="7"/>
      <c r="AG35" s="7">
        <v>200000</v>
      </c>
      <c r="AH35" s="7"/>
      <c r="AI35" s="7">
        <v>142441.86046511628</v>
      </c>
      <c r="AJ35" s="7"/>
      <c r="AK35" s="7"/>
      <c r="AL35" s="7"/>
      <c r="AM35" s="7"/>
      <c r="AN35" s="9">
        <v>212690.90666666668</v>
      </c>
      <c r="AO35" s="7"/>
      <c r="AP35" s="7"/>
      <c r="AQ35" s="7">
        <v>350000</v>
      </c>
      <c r="AR35" s="7">
        <v>190000</v>
      </c>
      <c r="AS35" s="7"/>
      <c r="AT35" s="7">
        <v>150000</v>
      </c>
      <c r="AU35" s="7"/>
      <c r="AV35" s="7">
        <v>136000</v>
      </c>
      <c r="AW35" s="7">
        <v>447837.83783783781</v>
      </c>
      <c r="AX35" s="7">
        <v>190000</v>
      </c>
      <c r="AY35" s="7"/>
      <c r="AZ35" s="7">
        <v>200000</v>
      </c>
      <c r="BA35" s="7"/>
      <c r="BB35" s="7">
        <v>170000</v>
      </c>
      <c r="BC35" s="7"/>
      <c r="BD35" s="7">
        <v>175000</v>
      </c>
      <c r="BE35" s="7"/>
      <c r="BF35" s="7"/>
      <c r="BG35" s="9">
        <v>359285.71428571426</v>
      </c>
      <c r="BI35" s="7"/>
      <c r="BJ35" s="7">
        <v>263333.33333333331</v>
      </c>
      <c r="BK35" s="7">
        <v>200400</v>
      </c>
      <c r="BL35" s="7"/>
      <c r="BM35" s="7">
        <v>172500</v>
      </c>
      <c r="BN35" s="7"/>
      <c r="BO35" s="7">
        <v>160000</v>
      </c>
      <c r="BP35" s="7">
        <v>370714.28571428574</v>
      </c>
      <c r="BQ35" s="7">
        <v>195000</v>
      </c>
      <c r="BR35" s="7"/>
      <c r="BS35" s="7">
        <v>190000</v>
      </c>
      <c r="BT35" s="7">
        <v>430000</v>
      </c>
      <c r="BU35" s="7">
        <v>175000</v>
      </c>
      <c r="BV35" s="7"/>
      <c r="BW35" s="7">
        <v>160000</v>
      </c>
      <c r="BX35" s="7"/>
      <c r="BY35" s="7"/>
      <c r="BZ35" s="9">
        <v>310581.81818181818</v>
      </c>
      <c r="CA35" s="7"/>
      <c r="CB35" s="7"/>
      <c r="CC35" s="7">
        <v>512500</v>
      </c>
      <c r="CD35" s="7">
        <v>216666.66666666666</v>
      </c>
      <c r="CE35" s="7">
        <v>210000</v>
      </c>
      <c r="CF35" s="7">
        <v>393000</v>
      </c>
      <c r="CG35" s="7"/>
      <c r="CH35" s="7"/>
      <c r="CI35" s="7">
        <v>437647.0588235294</v>
      </c>
      <c r="CJ35" s="7"/>
      <c r="CK35" s="7"/>
      <c r="CL35" s="7"/>
      <c r="CM35" s="7"/>
      <c r="CN35" s="7">
        <v>160000</v>
      </c>
      <c r="CO35" s="7"/>
      <c r="CP35" s="7"/>
      <c r="CQ35" s="7"/>
      <c r="CR35" s="7"/>
      <c r="CS35" s="9">
        <v>404545.45454545453</v>
      </c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9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9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9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9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9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9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9"/>
      <c r="HW35" s="7"/>
      <c r="HX35" s="7"/>
      <c r="HY35" s="7">
        <v>234482.75862068965</v>
      </c>
      <c r="HZ35" s="7">
        <v>271795.1724137931</v>
      </c>
      <c r="IA35" s="7">
        <v>263888.88888888888</v>
      </c>
      <c r="IB35" s="7">
        <v>204477.61194029852</v>
      </c>
      <c r="IC35" s="7">
        <v>160441.17647058822</v>
      </c>
      <c r="ID35" s="7">
        <v>198290.59829059828</v>
      </c>
      <c r="IE35" s="7">
        <v>376051.55970149254</v>
      </c>
      <c r="IF35" s="7">
        <v>336927.27272727271</v>
      </c>
      <c r="IG35" s="7">
        <v>170324.67532467534</v>
      </c>
      <c r="IH35" s="7">
        <v>346333.33333333331</v>
      </c>
      <c r="II35" s="7">
        <v>193333.33333333334</v>
      </c>
      <c r="IJ35" s="7">
        <v>233657.85714285713</v>
      </c>
      <c r="IK35" s="7">
        <v>233875</v>
      </c>
      <c r="IL35" s="7">
        <v>228939.33333333334</v>
      </c>
      <c r="IM35" s="7"/>
      <c r="IN35" s="7">
        <v>234000</v>
      </c>
      <c r="IO35" s="7">
        <v>268382.48987108655</v>
      </c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</row>
    <row r="36" spans="1:268" x14ac:dyDescent="0.4">
      <c r="A36" t="s">
        <v>43</v>
      </c>
      <c r="B36" t="s">
        <v>21</v>
      </c>
      <c r="D36" s="1">
        <v>211720</v>
      </c>
      <c r="E36" s="1">
        <v>215473.41666666666</v>
      </c>
      <c r="F36" s="1">
        <v>189295.12195121951</v>
      </c>
      <c r="G36" s="1">
        <v>299611.6504854369</v>
      </c>
      <c r="H36" s="1">
        <v>239117.64705882352</v>
      </c>
      <c r="I36" s="1">
        <v>106600</v>
      </c>
      <c r="J36" s="1"/>
      <c r="K36" s="1">
        <v>100000</v>
      </c>
      <c r="L36" s="1">
        <v>124411.76470588235</v>
      </c>
      <c r="M36" s="1">
        <v>130773.69148936171</v>
      </c>
      <c r="N36" s="1">
        <v>143846.15384615384</v>
      </c>
      <c r="O36" s="1">
        <v>115238.09523809524</v>
      </c>
      <c r="P36" s="1">
        <v>101428.57142857143</v>
      </c>
      <c r="Q36" s="1">
        <v>313191.48936170212</v>
      </c>
      <c r="R36" s="1">
        <v>92000</v>
      </c>
      <c r="S36" s="1">
        <v>96969.666666666672</v>
      </c>
      <c r="T36" s="1">
        <v>85454.5</v>
      </c>
      <c r="U36" s="9">
        <v>199528.07478260869</v>
      </c>
      <c r="V36" s="1"/>
      <c r="W36" s="1">
        <v>215000</v>
      </c>
      <c r="X36" s="1">
        <v>221944.44444444444</v>
      </c>
      <c r="Y36" s="1">
        <v>228666.66666666666</v>
      </c>
      <c r="Z36" s="1">
        <v>172368.42105263157</v>
      </c>
      <c r="AA36" s="1">
        <v>138571.42857142858</v>
      </c>
      <c r="AB36" s="1"/>
      <c r="AC36" s="1">
        <v>129333.33333333333</v>
      </c>
      <c r="AD36" s="1">
        <v>86666.666666666672</v>
      </c>
      <c r="AE36" s="1">
        <v>103333.33333333333</v>
      </c>
      <c r="AF36" s="1">
        <v>132636.29999999999</v>
      </c>
      <c r="AG36" s="1">
        <v>126153.84615384616</v>
      </c>
      <c r="AH36" s="1"/>
      <c r="AI36" s="1">
        <v>114181.8</v>
      </c>
      <c r="AJ36" s="1">
        <v>223240.10256410256</v>
      </c>
      <c r="AK36" s="1">
        <v>103181.8</v>
      </c>
      <c r="AL36" s="1">
        <v>97676.666666666672</v>
      </c>
      <c r="AM36" s="1">
        <v>177352.9411764706</v>
      </c>
      <c r="AN36" s="9">
        <v>171778.37313432837</v>
      </c>
      <c r="AO36" s="1"/>
      <c r="AP36" s="1">
        <v>150370.37037037036</v>
      </c>
      <c r="AQ36" s="1">
        <v>166071.42857142858</v>
      </c>
      <c r="AR36" s="1">
        <v>156600</v>
      </c>
      <c r="AS36" s="1">
        <v>206904.76190476189</v>
      </c>
      <c r="AT36" s="1">
        <v>112000</v>
      </c>
      <c r="AU36" s="1">
        <v>119000</v>
      </c>
      <c r="AV36" s="1">
        <v>113712.16666666667</v>
      </c>
      <c r="AW36" s="1"/>
      <c r="AX36" s="1">
        <v>106666.66666666667</v>
      </c>
      <c r="AY36" s="1">
        <v>120000</v>
      </c>
      <c r="AZ36" s="1">
        <v>116666.66666666667</v>
      </c>
      <c r="BA36" s="1">
        <v>125350.87719298246</v>
      </c>
      <c r="BB36" s="1">
        <v>100000</v>
      </c>
      <c r="BC36" s="1">
        <v>353913.04347826086</v>
      </c>
      <c r="BD36" s="1">
        <v>95454.5</v>
      </c>
      <c r="BE36" s="1">
        <v>97363.6</v>
      </c>
      <c r="BF36" s="1">
        <v>106428.57142857143</v>
      </c>
      <c r="BG36" s="9">
        <v>162223.28040540541</v>
      </c>
      <c r="BI36" s="1">
        <v>250298.75</v>
      </c>
      <c r="BJ36" s="1">
        <v>217500</v>
      </c>
      <c r="BK36" s="1">
        <v>169642.85714285713</v>
      </c>
      <c r="BL36" s="1">
        <v>178666.66666666666</v>
      </c>
      <c r="BM36" s="1">
        <v>105272.8</v>
      </c>
      <c r="BN36" s="1">
        <v>110000</v>
      </c>
      <c r="BO36" s="1">
        <v>120000</v>
      </c>
      <c r="BP36" s="1">
        <v>99545.454545454544</v>
      </c>
      <c r="BQ36" s="1"/>
      <c r="BR36" s="1">
        <v>125761.3625</v>
      </c>
      <c r="BS36" s="1">
        <v>94032.258064516136</v>
      </c>
      <c r="BT36" s="1">
        <v>124375</v>
      </c>
      <c r="BU36" s="1">
        <v>100000</v>
      </c>
      <c r="BV36" s="1">
        <v>178125</v>
      </c>
      <c r="BW36" s="1">
        <v>100000</v>
      </c>
      <c r="BX36" s="1">
        <v>91212</v>
      </c>
      <c r="BY36" s="1">
        <v>93333.333333333328</v>
      </c>
      <c r="BZ36" s="9">
        <v>130906.75655430711</v>
      </c>
      <c r="CA36" s="1"/>
      <c r="CB36" s="1">
        <v>240000</v>
      </c>
      <c r="CC36" s="1">
        <v>120000</v>
      </c>
      <c r="CD36" s="1">
        <v>310285.71428571426</v>
      </c>
      <c r="CE36" s="1">
        <v>105000</v>
      </c>
      <c r="CF36" s="1">
        <v>123684.21052631579</v>
      </c>
      <c r="CG36" s="1"/>
      <c r="CH36" s="1">
        <v>110000</v>
      </c>
      <c r="CI36" s="1"/>
      <c r="CJ36" s="1">
        <v>101666.66666666667</v>
      </c>
      <c r="CK36" s="1">
        <v>479950</v>
      </c>
      <c r="CL36" s="1">
        <v>130000</v>
      </c>
      <c r="CM36" s="1">
        <v>356000</v>
      </c>
      <c r="CN36" s="1">
        <v>263636.36363636365</v>
      </c>
      <c r="CO36" s="1">
        <v>241034.4827586207</v>
      </c>
      <c r="CP36" s="1">
        <v>127368.42105263157</v>
      </c>
      <c r="CQ36" s="1">
        <v>86136.25</v>
      </c>
      <c r="CR36" s="1">
        <v>100000</v>
      </c>
      <c r="CS36" s="9">
        <v>259419.73170731709</v>
      </c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9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9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9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9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9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9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9"/>
      <c r="HW36" s="1"/>
      <c r="HX36" s="1">
        <v>218064.51612903227</v>
      </c>
      <c r="HY36" s="1">
        <v>221705.58552631579</v>
      </c>
      <c r="HZ36" s="1">
        <v>316741.86384976527</v>
      </c>
      <c r="IA36" s="1">
        <v>149271.84466019418</v>
      </c>
      <c r="IB36" s="1">
        <v>118986.45679012345</v>
      </c>
      <c r="IC36" s="1">
        <v>107500</v>
      </c>
      <c r="ID36" s="1">
        <v>137835.05154639174</v>
      </c>
      <c r="IE36" s="1">
        <v>126219.53941908713</v>
      </c>
      <c r="IF36" s="1">
        <v>118654.77435897436</v>
      </c>
      <c r="IG36" s="1">
        <v>171191.29411764705</v>
      </c>
      <c r="IH36" s="1">
        <v>258652.64705882352</v>
      </c>
      <c r="II36" s="1">
        <v>134155.25114155252</v>
      </c>
      <c r="IJ36" s="1">
        <v>124291.44117647059</v>
      </c>
      <c r="IK36" s="1">
        <v>282379.48717948719</v>
      </c>
      <c r="IL36" s="1">
        <v>118619.73170731707</v>
      </c>
      <c r="IM36" s="1">
        <v>108629.94366197183</v>
      </c>
      <c r="IN36" s="1">
        <v>106040.79710144928</v>
      </c>
      <c r="IO36" s="1">
        <v>170892.88160291439</v>
      </c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</row>
    <row r="37" spans="1:268" x14ac:dyDescent="0.4">
      <c r="A37" t="s">
        <v>43</v>
      </c>
      <c r="B37" t="s">
        <v>14</v>
      </c>
      <c r="D37" s="1"/>
      <c r="E37" s="1">
        <v>103400</v>
      </c>
      <c r="F37" s="1">
        <v>98700</v>
      </c>
      <c r="G37" s="1"/>
      <c r="H37" s="1"/>
      <c r="I37" s="1"/>
      <c r="J37" s="1">
        <v>89300</v>
      </c>
      <c r="K37" s="1">
        <v>108100</v>
      </c>
      <c r="L37" s="1"/>
      <c r="M37" s="1"/>
      <c r="N37" s="1"/>
      <c r="O37" s="1"/>
      <c r="P37" s="1">
        <v>79900</v>
      </c>
      <c r="Q37" s="1"/>
      <c r="R37" s="1">
        <v>75200</v>
      </c>
      <c r="S37" s="1"/>
      <c r="T37" s="1"/>
      <c r="U37" s="9">
        <v>92237.5</v>
      </c>
      <c r="V37" s="1"/>
      <c r="W37" s="1"/>
      <c r="X37" s="1"/>
      <c r="Y37" s="1">
        <v>79900</v>
      </c>
      <c r="Z37" s="1"/>
      <c r="AA37" s="1"/>
      <c r="AB37" s="1">
        <v>75200</v>
      </c>
      <c r="AC37" s="1"/>
      <c r="AD37" s="1"/>
      <c r="AE37" s="1"/>
      <c r="AF37" s="1">
        <v>94000</v>
      </c>
      <c r="AG37" s="1"/>
      <c r="AH37" s="1">
        <v>98700</v>
      </c>
      <c r="AI37" s="1"/>
      <c r="AJ37" s="1"/>
      <c r="AK37" s="1">
        <v>79900</v>
      </c>
      <c r="AL37" s="1"/>
      <c r="AM37" s="1">
        <v>94000</v>
      </c>
      <c r="AN37" s="9">
        <v>86362.5</v>
      </c>
      <c r="AO37" s="1"/>
      <c r="AP37" s="1"/>
      <c r="AQ37" s="1"/>
      <c r="AR37" s="1">
        <v>96055.625</v>
      </c>
      <c r="AS37" s="1"/>
      <c r="AT37" s="1">
        <v>112800</v>
      </c>
      <c r="AU37" s="1">
        <v>91650</v>
      </c>
      <c r="AV37" s="1"/>
      <c r="AW37" s="1"/>
      <c r="AX37" s="1">
        <v>97674</v>
      </c>
      <c r="AY37" s="1">
        <v>89300</v>
      </c>
      <c r="AZ37" s="1"/>
      <c r="BA37" s="1">
        <v>152520</v>
      </c>
      <c r="BB37" s="1">
        <v>75200</v>
      </c>
      <c r="BC37" s="1"/>
      <c r="BD37" s="1"/>
      <c r="BE37" s="1"/>
      <c r="BF37" s="1"/>
      <c r="BG37" s="9">
        <v>106370.39130434782</v>
      </c>
      <c r="BI37" s="1"/>
      <c r="BJ37" s="1">
        <v>112800</v>
      </c>
      <c r="BK37" s="1">
        <v>89300</v>
      </c>
      <c r="BL37" s="1"/>
      <c r="BM37" s="1"/>
      <c r="BN37" s="1"/>
      <c r="BO37" s="1">
        <v>75200</v>
      </c>
      <c r="BP37" s="1">
        <v>101050</v>
      </c>
      <c r="BQ37" s="1">
        <v>119850</v>
      </c>
      <c r="BR37" s="1">
        <v>68150</v>
      </c>
      <c r="BS37" s="1"/>
      <c r="BT37" s="1">
        <v>98700</v>
      </c>
      <c r="BU37" s="1">
        <v>86950</v>
      </c>
      <c r="BV37" s="1">
        <v>98700</v>
      </c>
      <c r="BW37" s="1"/>
      <c r="BX37" s="1"/>
      <c r="BY37" s="1"/>
      <c r="BZ37" s="9">
        <v>101637.5</v>
      </c>
      <c r="CA37" s="1"/>
      <c r="CB37" s="1"/>
      <c r="CC37" s="1"/>
      <c r="CD37" s="1">
        <v>83775</v>
      </c>
      <c r="CE37" s="1"/>
      <c r="CF37" s="1"/>
      <c r="CG37" s="1"/>
      <c r="CH37" s="1"/>
      <c r="CI37" s="1"/>
      <c r="CJ37" s="1">
        <v>108100</v>
      </c>
      <c r="CK37" s="1"/>
      <c r="CL37" s="1">
        <v>94000</v>
      </c>
      <c r="CM37" s="1">
        <v>91650</v>
      </c>
      <c r="CN37" s="1">
        <v>110450</v>
      </c>
      <c r="CO37" s="1"/>
      <c r="CP37" s="1"/>
      <c r="CQ37" s="1"/>
      <c r="CR37" s="1"/>
      <c r="CS37" s="9">
        <v>94140</v>
      </c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9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9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9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9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9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9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9"/>
      <c r="HW37" s="1"/>
      <c r="HX37" s="1"/>
      <c r="HY37" s="1">
        <v>104205.71428571429</v>
      </c>
      <c r="HZ37" s="1">
        <v>83699.166666666672</v>
      </c>
      <c r="IA37" s="1">
        <v>120790</v>
      </c>
      <c r="IB37" s="1">
        <v>92543.363636363632</v>
      </c>
      <c r="IC37" s="1">
        <v>80551.095238095237</v>
      </c>
      <c r="ID37" s="1">
        <v>79900</v>
      </c>
      <c r="IE37" s="1">
        <v>108351.29411764706</v>
      </c>
      <c r="IF37" s="1">
        <v>94000</v>
      </c>
      <c r="IG37" s="1">
        <v>95410</v>
      </c>
      <c r="IH37" s="1">
        <v>93718</v>
      </c>
      <c r="II37" s="1">
        <v>97872.263157894733</v>
      </c>
      <c r="IJ37" s="1">
        <v>68150</v>
      </c>
      <c r="IK37" s="1">
        <v>90197.545454545456</v>
      </c>
      <c r="IL37" s="1">
        <v>76377.5</v>
      </c>
      <c r="IM37" s="1">
        <v>94000</v>
      </c>
      <c r="IN37" s="1">
        <v>161523.33333333334</v>
      </c>
      <c r="IO37" s="1">
        <v>96654</v>
      </c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</row>
    <row r="38" spans="1:268" x14ac:dyDescent="0.4">
      <c r="A38" t="s">
        <v>43</v>
      </c>
      <c r="B38" t="s">
        <v>22</v>
      </c>
      <c r="D38" s="1"/>
      <c r="E38" s="1">
        <v>37207.5</v>
      </c>
      <c r="F38" s="1">
        <v>22444.444444444445</v>
      </c>
      <c r="G38" s="1">
        <v>19773.170731707316</v>
      </c>
      <c r="H38" s="1">
        <v>33000</v>
      </c>
      <c r="I38" s="1">
        <v>22320</v>
      </c>
      <c r="J38" s="1">
        <v>18708.602739726026</v>
      </c>
      <c r="K38" s="1">
        <v>41409.090909090912</v>
      </c>
      <c r="L38" s="1">
        <v>21676.470588235294</v>
      </c>
      <c r="M38" s="1">
        <v>20300</v>
      </c>
      <c r="N38" s="1">
        <v>19236.363636363636</v>
      </c>
      <c r="O38" s="1">
        <v>79120</v>
      </c>
      <c r="P38" s="1">
        <v>86000</v>
      </c>
      <c r="Q38" s="1">
        <v>15872.042016806723</v>
      </c>
      <c r="R38" s="1">
        <v>17409.090909090908</v>
      </c>
      <c r="S38" s="1">
        <v>30000</v>
      </c>
      <c r="T38" s="1">
        <v>41186.046511627908</v>
      </c>
      <c r="U38" s="9">
        <v>26395.671568627451</v>
      </c>
      <c r="V38" s="1"/>
      <c r="W38" s="1"/>
      <c r="X38" s="1">
        <v>22736.363636363636</v>
      </c>
      <c r="Y38" s="1">
        <v>26081.048192771083</v>
      </c>
      <c r="Z38" s="1">
        <v>23386.666666666668</v>
      </c>
      <c r="AA38" s="1">
        <v>36000</v>
      </c>
      <c r="AB38" s="1">
        <v>30000</v>
      </c>
      <c r="AC38" s="1">
        <v>27000</v>
      </c>
      <c r="AD38" s="1">
        <v>50175</v>
      </c>
      <c r="AE38" s="1">
        <v>20736.842105263157</v>
      </c>
      <c r="AF38" s="1">
        <v>24756.36</v>
      </c>
      <c r="AG38" s="1">
        <v>18428.571428571428</v>
      </c>
      <c r="AH38" s="1">
        <v>31200</v>
      </c>
      <c r="AI38" s="1">
        <v>26666.666666666668</v>
      </c>
      <c r="AJ38" s="1">
        <v>26000</v>
      </c>
      <c r="AK38" s="1">
        <v>16703.703703703704</v>
      </c>
      <c r="AL38" s="1"/>
      <c r="AM38" s="1">
        <v>33000</v>
      </c>
      <c r="AN38" s="9">
        <v>26563.197860962566</v>
      </c>
      <c r="AO38" s="1"/>
      <c r="AP38" s="1"/>
      <c r="AQ38" s="1">
        <v>21600</v>
      </c>
      <c r="AR38" s="1">
        <v>21738.095238095237</v>
      </c>
      <c r="AS38" s="1">
        <v>23499.847457627118</v>
      </c>
      <c r="AT38" s="1"/>
      <c r="AU38" s="1">
        <v>22136.5</v>
      </c>
      <c r="AV38" s="1">
        <v>31534.125</v>
      </c>
      <c r="AW38" s="1">
        <v>28068.178571428572</v>
      </c>
      <c r="AX38" s="1">
        <v>22266.666666666668</v>
      </c>
      <c r="AY38" s="1">
        <v>26375</v>
      </c>
      <c r="AZ38" s="1">
        <v>25085.9375</v>
      </c>
      <c r="BA38" s="1">
        <v>33000</v>
      </c>
      <c r="BB38" s="1">
        <v>21800</v>
      </c>
      <c r="BC38" s="1">
        <v>22938.461538461539</v>
      </c>
      <c r="BD38" s="1">
        <v>24000</v>
      </c>
      <c r="BE38" s="1"/>
      <c r="BF38" s="1">
        <v>24880</v>
      </c>
      <c r="BG38" s="9">
        <v>24218.350912778904</v>
      </c>
      <c r="BI38" s="1">
        <v>44666.666666666664</v>
      </c>
      <c r="BJ38" s="1">
        <v>25500</v>
      </c>
      <c r="BK38" s="1">
        <v>22907.5593220339</v>
      </c>
      <c r="BL38" s="1">
        <v>17870.740000000002</v>
      </c>
      <c r="BM38" s="1"/>
      <c r="BN38" s="1">
        <v>21285.714285714286</v>
      </c>
      <c r="BO38" s="1">
        <v>26127.75</v>
      </c>
      <c r="BP38" s="1">
        <v>37125</v>
      </c>
      <c r="BQ38" s="1">
        <v>32000</v>
      </c>
      <c r="BR38" s="1">
        <v>24400</v>
      </c>
      <c r="BS38" s="1">
        <v>17457.142857142859</v>
      </c>
      <c r="BT38" s="1">
        <v>40964.818181818184</v>
      </c>
      <c r="BU38" s="1">
        <v>29111.111111111109</v>
      </c>
      <c r="BV38" s="1">
        <v>23333.333333333332</v>
      </c>
      <c r="BW38" s="1">
        <v>27222.222222222223</v>
      </c>
      <c r="BX38" s="1">
        <v>14545</v>
      </c>
      <c r="BY38" s="1">
        <v>29066.666666666668</v>
      </c>
      <c r="BZ38" s="9">
        <v>23979.783197831977</v>
      </c>
      <c r="CA38" s="1"/>
      <c r="CB38" s="1">
        <v>75000</v>
      </c>
      <c r="CC38" s="1">
        <v>26159.228571428572</v>
      </c>
      <c r="CD38" s="1">
        <v>19618.454545454544</v>
      </c>
      <c r="CE38" s="1">
        <v>30999.018181818181</v>
      </c>
      <c r="CF38" s="1">
        <v>46714.285714285717</v>
      </c>
      <c r="CG38" s="1">
        <v>54416.666666666664</v>
      </c>
      <c r="CH38" s="1">
        <v>30022.666666666668</v>
      </c>
      <c r="CI38" s="1">
        <v>38500</v>
      </c>
      <c r="CJ38" s="1">
        <v>28714.285714285714</v>
      </c>
      <c r="CK38" s="1">
        <v>33555.555555555555</v>
      </c>
      <c r="CL38" s="1">
        <v>21000</v>
      </c>
      <c r="CM38" s="1">
        <v>33900</v>
      </c>
      <c r="CN38" s="1">
        <v>39000</v>
      </c>
      <c r="CO38" s="1">
        <v>23500</v>
      </c>
      <c r="CP38" s="1">
        <v>30000</v>
      </c>
      <c r="CQ38" s="1">
        <v>22121.333333333332</v>
      </c>
      <c r="CR38" s="1">
        <v>21750</v>
      </c>
      <c r="CS38" s="9">
        <v>28256.58359621451</v>
      </c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9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9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9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9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9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9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9"/>
      <c r="HW38" s="1"/>
      <c r="HX38" s="1"/>
      <c r="HY38" s="1">
        <v>29081.551886792451</v>
      </c>
      <c r="HZ38" s="1">
        <v>20814.213717693838</v>
      </c>
      <c r="IA38" s="1">
        <v>21389.816485225507</v>
      </c>
      <c r="IB38" s="1">
        <v>33297.545454545456</v>
      </c>
      <c r="IC38" s="1">
        <v>20186.795555555556</v>
      </c>
      <c r="ID38" s="1">
        <v>22679.187675070028</v>
      </c>
      <c r="IE38" s="1">
        <v>27625.904884318767</v>
      </c>
      <c r="IF38" s="1">
        <v>26005.599137931036</v>
      </c>
      <c r="IG38" s="1">
        <v>24351.477313974592</v>
      </c>
      <c r="IH38" s="1">
        <v>26242.516268980478</v>
      </c>
      <c r="II38" s="1">
        <v>26649.471736896197</v>
      </c>
      <c r="IJ38" s="1">
        <v>35659.452380952382</v>
      </c>
      <c r="IK38" s="1">
        <v>20691.215780998391</v>
      </c>
      <c r="IL38" s="1">
        <v>17887.045662100456</v>
      </c>
      <c r="IM38" s="1">
        <v>22274.448275862069</v>
      </c>
      <c r="IN38" s="1">
        <v>22565.558583106267</v>
      </c>
      <c r="IO38" s="1">
        <v>23928.003216374269</v>
      </c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</row>
    <row r="39" spans="1:268" s="6" customFormat="1" x14ac:dyDescent="0.4">
      <c r="A39" s="6" t="s">
        <v>43</v>
      </c>
      <c r="B39" s="6" t="s">
        <v>1</v>
      </c>
      <c r="D39" s="7"/>
      <c r="E39" s="7"/>
      <c r="F39" s="7">
        <v>0</v>
      </c>
      <c r="G39" s="7">
        <v>0</v>
      </c>
      <c r="H39" s="7">
        <v>0</v>
      </c>
      <c r="I39" s="7"/>
      <c r="J39" s="7">
        <v>0</v>
      </c>
      <c r="K39" s="7"/>
      <c r="L39" s="7"/>
      <c r="M39" s="7"/>
      <c r="N39" s="7"/>
      <c r="O39" s="7">
        <v>0</v>
      </c>
      <c r="P39" s="7"/>
      <c r="Q39" s="7">
        <v>0</v>
      </c>
      <c r="R39" s="7">
        <v>0</v>
      </c>
      <c r="S39" s="7"/>
      <c r="T39" s="7"/>
      <c r="U39" s="9">
        <v>0</v>
      </c>
      <c r="V39" s="7"/>
      <c r="W39" s="7"/>
      <c r="X39" s="7"/>
      <c r="Y39" s="7">
        <v>0</v>
      </c>
      <c r="Z39" s="7">
        <v>0</v>
      </c>
      <c r="AA39" s="7">
        <v>0</v>
      </c>
      <c r="AB39" s="7"/>
      <c r="AC39" s="7">
        <v>0</v>
      </c>
      <c r="AD39" s="7"/>
      <c r="AE39" s="7">
        <v>0</v>
      </c>
      <c r="AF39" s="7">
        <v>0</v>
      </c>
      <c r="AG39" s="7"/>
      <c r="AH39" s="7"/>
      <c r="AI39" s="7"/>
      <c r="AJ39" s="7">
        <v>0</v>
      </c>
      <c r="AK39" s="7"/>
      <c r="AL39" s="7"/>
      <c r="AM39" s="7"/>
      <c r="AN39" s="9">
        <v>0</v>
      </c>
      <c r="AO39" s="7"/>
      <c r="AP39" s="7"/>
      <c r="AQ39" s="7"/>
      <c r="AR39" s="7">
        <v>0</v>
      </c>
      <c r="AS39" s="7"/>
      <c r="AT39" s="7">
        <v>0</v>
      </c>
      <c r="AU39" s="7"/>
      <c r="AV39" s="7">
        <v>0</v>
      </c>
      <c r="AW39" s="7"/>
      <c r="AX39" s="7"/>
      <c r="AY39" s="7"/>
      <c r="AZ39" s="7"/>
      <c r="BA39" s="7"/>
      <c r="BB39" s="7">
        <v>0</v>
      </c>
      <c r="BC39" s="7">
        <v>0</v>
      </c>
      <c r="BD39" s="7"/>
      <c r="BE39" s="7"/>
      <c r="BF39" s="7"/>
      <c r="BG39" s="9">
        <v>0</v>
      </c>
      <c r="BI39" s="7"/>
      <c r="BJ39" s="7"/>
      <c r="BK39" s="7">
        <v>0</v>
      </c>
      <c r="BL39" s="7">
        <v>0</v>
      </c>
      <c r="BM39" s="7">
        <v>0</v>
      </c>
      <c r="BN39" s="7">
        <v>0</v>
      </c>
      <c r="BO39" s="7">
        <v>0</v>
      </c>
      <c r="BP39" s="7">
        <v>0</v>
      </c>
      <c r="BQ39" s="7"/>
      <c r="BR39" s="7"/>
      <c r="BS39" s="7">
        <v>0</v>
      </c>
      <c r="BT39" s="7"/>
      <c r="BU39" s="7">
        <v>0</v>
      </c>
      <c r="BV39" s="7">
        <v>0</v>
      </c>
      <c r="BW39" s="7">
        <v>0</v>
      </c>
      <c r="BX39" s="7">
        <v>0</v>
      </c>
      <c r="BY39" s="7"/>
      <c r="BZ39" s="9">
        <v>0</v>
      </c>
      <c r="CA39" s="7"/>
      <c r="CB39" s="7"/>
      <c r="CC39" s="7"/>
      <c r="CD39" s="7">
        <v>0</v>
      </c>
      <c r="CE39" s="7">
        <v>0</v>
      </c>
      <c r="CF39" s="7">
        <v>0</v>
      </c>
      <c r="CG39" s="7"/>
      <c r="CH39" s="7">
        <v>0</v>
      </c>
      <c r="CI39" s="7"/>
      <c r="CJ39" s="7">
        <v>0</v>
      </c>
      <c r="CK39" s="7">
        <v>0</v>
      </c>
      <c r="CL39" s="7">
        <v>0</v>
      </c>
      <c r="CM39" s="7">
        <v>0</v>
      </c>
      <c r="CN39" s="7">
        <v>0</v>
      </c>
      <c r="CO39" s="7">
        <v>0</v>
      </c>
      <c r="CP39" s="7">
        <v>0</v>
      </c>
      <c r="CQ39" s="7"/>
      <c r="CR39" s="7"/>
      <c r="CS39" s="9">
        <v>0</v>
      </c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9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9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9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9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9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9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9"/>
      <c r="HW39" s="7"/>
      <c r="HX39" s="7">
        <v>0</v>
      </c>
      <c r="HY39" s="7">
        <v>0</v>
      </c>
      <c r="HZ39" s="7">
        <v>0</v>
      </c>
      <c r="IA39" s="7">
        <v>0</v>
      </c>
      <c r="IB39" s="7">
        <v>0</v>
      </c>
      <c r="IC39" s="7">
        <v>0</v>
      </c>
      <c r="ID39" s="7">
        <v>0</v>
      </c>
      <c r="IE39" s="7">
        <v>0</v>
      </c>
      <c r="IF39" s="7">
        <v>0</v>
      </c>
      <c r="IG39" s="7">
        <v>0</v>
      </c>
      <c r="IH39" s="7">
        <v>0</v>
      </c>
      <c r="II39" s="7">
        <v>0</v>
      </c>
      <c r="IJ39" s="7">
        <v>0</v>
      </c>
      <c r="IK39" s="7">
        <v>0</v>
      </c>
      <c r="IL39" s="7">
        <v>0</v>
      </c>
      <c r="IM39" s="7">
        <v>0</v>
      </c>
      <c r="IN39" s="7">
        <v>0</v>
      </c>
      <c r="IO39" s="7">
        <v>0</v>
      </c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</row>
    <row r="40" spans="1:268" x14ac:dyDescent="0.4">
      <c r="A40" t="s">
        <v>43</v>
      </c>
      <c r="B40" t="s">
        <v>8</v>
      </c>
      <c r="D40" s="1"/>
      <c r="E40" s="1">
        <v>0</v>
      </c>
      <c r="F40" s="1">
        <v>0</v>
      </c>
      <c r="G40" s="1">
        <v>0</v>
      </c>
      <c r="H40" s="1"/>
      <c r="I40" s="1">
        <v>0</v>
      </c>
      <c r="J40" s="1"/>
      <c r="K40" s="1">
        <v>0</v>
      </c>
      <c r="L40" s="1">
        <v>0</v>
      </c>
      <c r="M40" s="1">
        <v>0</v>
      </c>
      <c r="N40" s="1"/>
      <c r="O40" s="1">
        <v>0</v>
      </c>
      <c r="P40" s="1">
        <v>0</v>
      </c>
      <c r="Q40" s="1">
        <v>0</v>
      </c>
      <c r="R40" s="1">
        <v>0</v>
      </c>
      <c r="S40" s="1"/>
      <c r="T40" s="1"/>
      <c r="U40" s="9">
        <v>0</v>
      </c>
      <c r="V40" s="1"/>
      <c r="W40" s="1"/>
      <c r="X40" s="1"/>
      <c r="Y40" s="1">
        <v>0</v>
      </c>
      <c r="Z40" s="1">
        <v>0</v>
      </c>
      <c r="AA40" s="1">
        <v>0</v>
      </c>
      <c r="AB40" s="1">
        <v>0</v>
      </c>
      <c r="AC40" s="1"/>
      <c r="AD40" s="1">
        <v>0</v>
      </c>
      <c r="AE40" s="1">
        <v>0</v>
      </c>
      <c r="AF40" s="1"/>
      <c r="AG40" s="1">
        <v>0</v>
      </c>
      <c r="AH40" s="1">
        <v>0</v>
      </c>
      <c r="AI40" s="1"/>
      <c r="AJ40" s="1">
        <v>0</v>
      </c>
      <c r="AK40" s="1"/>
      <c r="AL40" s="1"/>
      <c r="AM40" s="1"/>
      <c r="AN40" s="9">
        <v>0</v>
      </c>
      <c r="AO40" s="1"/>
      <c r="AP40" s="1"/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/>
      <c r="AZ40" s="1">
        <v>0</v>
      </c>
      <c r="BA40" s="1">
        <v>0</v>
      </c>
      <c r="BB40" s="1"/>
      <c r="BC40" s="1">
        <v>0</v>
      </c>
      <c r="BD40" s="1">
        <v>0</v>
      </c>
      <c r="BE40" s="1"/>
      <c r="BF40" s="1">
        <v>0</v>
      </c>
      <c r="BG40" s="9">
        <v>0</v>
      </c>
      <c r="BI40" s="1"/>
      <c r="BJ40" s="1">
        <v>0</v>
      </c>
      <c r="BK40" s="1">
        <v>0</v>
      </c>
      <c r="BL40" s="1">
        <v>0</v>
      </c>
      <c r="BM40" s="1"/>
      <c r="BN40" s="1">
        <v>0</v>
      </c>
      <c r="BO40" s="1">
        <v>0</v>
      </c>
      <c r="BP40" s="1">
        <v>0</v>
      </c>
      <c r="BQ40" s="1">
        <v>0</v>
      </c>
      <c r="BR40" s="1"/>
      <c r="BS40" s="1">
        <v>0</v>
      </c>
      <c r="BT40" s="1">
        <v>0</v>
      </c>
      <c r="BU40" s="1"/>
      <c r="BV40" s="1">
        <v>0</v>
      </c>
      <c r="BW40" s="1"/>
      <c r="BX40" s="1"/>
      <c r="BY40" s="1">
        <v>0</v>
      </c>
      <c r="BZ40" s="9">
        <v>0</v>
      </c>
      <c r="CA40" s="1"/>
      <c r="CB40" s="1"/>
      <c r="CC40" s="1">
        <v>0</v>
      </c>
      <c r="CD40" s="1">
        <v>0</v>
      </c>
      <c r="CE40" s="1">
        <v>0</v>
      </c>
      <c r="CF40" s="1"/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/>
      <c r="CO40" s="1">
        <v>0</v>
      </c>
      <c r="CP40" s="1">
        <v>0</v>
      </c>
      <c r="CQ40" s="1"/>
      <c r="CR40" s="1">
        <v>0</v>
      </c>
      <c r="CS40" s="9">
        <v>0</v>
      </c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9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9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9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9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9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9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9"/>
      <c r="HW40" s="1"/>
      <c r="HX40" s="1"/>
      <c r="HY40" s="1">
        <v>0</v>
      </c>
      <c r="HZ40" s="1">
        <v>0</v>
      </c>
      <c r="IA40" s="1">
        <v>0</v>
      </c>
      <c r="IB40" s="1">
        <v>0</v>
      </c>
      <c r="IC40" s="1">
        <v>0</v>
      </c>
      <c r="ID40" s="1">
        <v>0</v>
      </c>
      <c r="IE40" s="1">
        <v>0</v>
      </c>
      <c r="IF40" s="1">
        <v>0</v>
      </c>
      <c r="IG40" s="1">
        <v>0</v>
      </c>
      <c r="IH40" s="1">
        <v>0</v>
      </c>
      <c r="II40" s="1">
        <v>0</v>
      </c>
      <c r="IJ40" s="1">
        <v>0</v>
      </c>
      <c r="IK40" s="1">
        <v>0</v>
      </c>
      <c r="IL40" s="1">
        <v>0</v>
      </c>
      <c r="IM40" s="1"/>
      <c r="IN40" s="1">
        <v>0</v>
      </c>
      <c r="IO40" s="1">
        <v>0</v>
      </c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</row>
    <row r="41" spans="1:268" s="6" customFormat="1" x14ac:dyDescent="0.4">
      <c r="A41" s="6" t="s">
        <v>43</v>
      </c>
      <c r="B41" s="6" t="s">
        <v>16</v>
      </c>
      <c r="D41" s="7"/>
      <c r="E41" s="7"/>
      <c r="F41" s="7">
        <v>257000</v>
      </c>
      <c r="G41" s="7"/>
      <c r="H41" s="7">
        <v>218908.85714285713</v>
      </c>
      <c r="I41" s="7">
        <v>200000</v>
      </c>
      <c r="J41" s="7">
        <v>251666.66666666666</v>
      </c>
      <c r="K41" s="7">
        <v>212125.04166666666</v>
      </c>
      <c r="L41" s="7">
        <v>250000</v>
      </c>
      <c r="M41" s="7">
        <v>170000</v>
      </c>
      <c r="N41" s="7"/>
      <c r="O41" s="7"/>
      <c r="P41" s="7"/>
      <c r="Q41" s="7"/>
      <c r="R41" s="7"/>
      <c r="S41" s="7"/>
      <c r="T41" s="7"/>
      <c r="U41" s="9">
        <v>220090.83928571429</v>
      </c>
      <c r="V41" s="7"/>
      <c r="W41" s="7"/>
      <c r="X41" s="7">
        <v>270000</v>
      </c>
      <c r="Y41" s="7">
        <v>185000</v>
      </c>
      <c r="Z41" s="7"/>
      <c r="AA41" s="7"/>
      <c r="AB41" s="7"/>
      <c r="AC41" s="7">
        <v>400000</v>
      </c>
      <c r="AD41" s="7"/>
      <c r="AE41" s="7"/>
      <c r="AF41" s="7"/>
      <c r="AG41" s="7"/>
      <c r="AH41" s="7"/>
      <c r="AI41" s="7"/>
      <c r="AJ41" s="7">
        <v>358851.68421052629</v>
      </c>
      <c r="AK41" s="7"/>
      <c r="AL41" s="7">
        <v>230000</v>
      </c>
      <c r="AM41" s="7"/>
      <c r="AN41" s="9">
        <v>354812.26086956525</v>
      </c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>
        <v>150000</v>
      </c>
      <c r="BD41" s="7"/>
      <c r="BE41" s="7">
        <v>177272</v>
      </c>
      <c r="BF41" s="7">
        <v>200000</v>
      </c>
      <c r="BG41" s="9">
        <v>175757.33333333334</v>
      </c>
      <c r="BI41" s="7"/>
      <c r="BJ41" s="7"/>
      <c r="BK41" s="7"/>
      <c r="BL41" s="7"/>
      <c r="BM41" s="7"/>
      <c r="BN41" s="7"/>
      <c r="BO41" s="7"/>
      <c r="BP41" s="7">
        <v>190000</v>
      </c>
      <c r="BQ41" s="7"/>
      <c r="BR41" s="7"/>
      <c r="BS41" s="7"/>
      <c r="BT41" s="7"/>
      <c r="BU41" s="7"/>
      <c r="BV41" s="7"/>
      <c r="BW41" s="7"/>
      <c r="BX41" s="7"/>
      <c r="BY41" s="7"/>
      <c r="BZ41" s="9">
        <v>190000</v>
      </c>
      <c r="CA41" s="7"/>
      <c r="CB41" s="7"/>
      <c r="CC41" s="7"/>
      <c r="CD41" s="7"/>
      <c r="CE41" s="7"/>
      <c r="CF41" s="7">
        <v>250000</v>
      </c>
      <c r="CG41" s="7"/>
      <c r="CH41" s="7"/>
      <c r="CI41" s="7"/>
      <c r="CJ41" s="7"/>
      <c r="CK41" s="7"/>
      <c r="CL41" s="7"/>
      <c r="CM41" s="7"/>
      <c r="CN41" s="7">
        <v>230000</v>
      </c>
      <c r="CO41" s="7"/>
      <c r="CP41" s="7"/>
      <c r="CQ41" s="7"/>
      <c r="CR41" s="7"/>
      <c r="CS41" s="9">
        <v>236666.66666666666</v>
      </c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9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9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9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9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9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9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9"/>
      <c r="HW41" s="7"/>
      <c r="HX41" s="7">
        <v>457680</v>
      </c>
      <c r="HY41" s="7">
        <v>255000</v>
      </c>
      <c r="HZ41" s="7">
        <v>212312.5</v>
      </c>
      <c r="IA41" s="7">
        <v>207500</v>
      </c>
      <c r="IB41" s="7">
        <v>205555.55555555556</v>
      </c>
      <c r="IC41" s="7">
        <v>265714.28571428574</v>
      </c>
      <c r="ID41" s="7">
        <v>192878.66666666666</v>
      </c>
      <c r="IE41" s="7">
        <v>198961</v>
      </c>
      <c r="IF41" s="7">
        <v>220750</v>
      </c>
      <c r="IG41" s="7">
        <v>287200.46153846156</v>
      </c>
      <c r="IH41" s="7">
        <v>236666.66666666666</v>
      </c>
      <c r="II41" s="7">
        <v>208333.33333333334</v>
      </c>
      <c r="IJ41" s="7">
        <v>260000</v>
      </c>
      <c r="IK41" s="7">
        <v>255000</v>
      </c>
      <c r="IL41" s="7">
        <v>218333.33333333334</v>
      </c>
      <c r="IM41" s="7">
        <v>172424</v>
      </c>
      <c r="IN41" s="7">
        <v>195000</v>
      </c>
      <c r="IO41" s="7">
        <v>256461.2803030303</v>
      </c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</row>
    <row r="42" spans="1:268" x14ac:dyDescent="0.4">
      <c r="A42" t="s">
        <v>43</v>
      </c>
      <c r="B42" t="s">
        <v>24</v>
      </c>
      <c r="D42" s="1">
        <v>214000</v>
      </c>
      <c r="E42" s="1"/>
      <c r="F42" s="1">
        <v>312728.57142857142</v>
      </c>
      <c r="G42" s="1">
        <v>154924</v>
      </c>
      <c r="H42" s="1">
        <v>116004.75675675676</v>
      </c>
      <c r="I42" s="1">
        <v>110000</v>
      </c>
      <c r="J42" s="1"/>
      <c r="K42" s="1">
        <v>100060.6</v>
      </c>
      <c r="L42" s="1"/>
      <c r="M42" s="1"/>
      <c r="N42" s="1">
        <v>120000</v>
      </c>
      <c r="O42" s="1"/>
      <c r="P42" s="1">
        <v>129000</v>
      </c>
      <c r="Q42" s="1">
        <v>120000</v>
      </c>
      <c r="R42" s="1">
        <v>90000</v>
      </c>
      <c r="S42" s="1"/>
      <c r="T42" s="1"/>
      <c r="U42" s="9">
        <v>167974.125</v>
      </c>
      <c r="V42" s="1"/>
      <c r="W42" s="1"/>
      <c r="X42" s="1"/>
      <c r="Y42" s="1"/>
      <c r="Z42" s="1"/>
      <c r="AA42" s="1">
        <v>70000</v>
      </c>
      <c r="AB42" s="1">
        <v>70000</v>
      </c>
      <c r="AC42" s="1">
        <v>180000</v>
      </c>
      <c r="AD42" s="1">
        <v>110000</v>
      </c>
      <c r="AE42" s="1">
        <v>100000</v>
      </c>
      <c r="AF42" s="1">
        <v>130000</v>
      </c>
      <c r="AG42" s="1">
        <v>100000</v>
      </c>
      <c r="AH42" s="1"/>
      <c r="AI42" s="1"/>
      <c r="AJ42" s="1"/>
      <c r="AK42" s="1">
        <v>138000</v>
      </c>
      <c r="AL42" s="1">
        <v>50000</v>
      </c>
      <c r="AM42" s="1"/>
      <c r="AN42" s="9">
        <v>102727.27272727272</v>
      </c>
      <c r="AO42" s="1"/>
      <c r="AP42" s="1">
        <v>170000</v>
      </c>
      <c r="AQ42" s="1"/>
      <c r="AR42" s="1">
        <v>115000</v>
      </c>
      <c r="AS42" s="1">
        <v>100000</v>
      </c>
      <c r="AT42" s="1">
        <v>111565.55555555556</v>
      </c>
      <c r="AU42" s="1">
        <v>86969.666666666672</v>
      </c>
      <c r="AV42" s="1"/>
      <c r="AW42" s="1">
        <v>100000</v>
      </c>
      <c r="AX42" s="1">
        <v>100000</v>
      </c>
      <c r="AY42" s="1"/>
      <c r="AZ42" s="1"/>
      <c r="BA42" s="1"/>
      <c r="BB42" s="1">
        <v>100000</v>
      </c>
      <c r="BC42" s="1"/>
      <c r="BD42" s="1"/>
      <c r="BE42" s="1">
        <v>100000</v>
      </c>
      <c r="BF42" s="1"/>
      <c r="BG42" s="9">
        <v>120921.32432432432</v>
      </c>
      <c r="BI42" s="1">
        <v>160250</v>
      </c>
      <c r="BJ42" s="1"/>
      <c r="BK42" s="1"/>
      <c r="BL42" s="1">
        <v>120000</v>
      </c>
      <c r="BM42" s="1">
        <v>120000</v>
      </c>
      <c r="BN42" s="1">
        <v>236364</v>
      </c>
      <c r="BO42" s="1"/>
      <c r="BP42" s="1"/>
      <c r="BQ42" s="1"/>
      <c r="BR42" s="1"/>
      <c r="BS42" s="1"/>
      <c r="BT42" s="1"/>
      <c r="BU42" s="1">
        <v>93750</v>
      </c>
      <c r="BV42" s="1"/>
      <c r="BW42" s="1"/>
      <c r="BX42" s="1">
        <v>100000</v>
      </c>
      <c r="BY42" s="1">
        <v>70000</v>
      </c>
      <c r="BZ42" s="9">
        <v>140198.66666666666</v>
      </c>
      <c r="CA42" s="1"/>
      <c r="CB42" s="1">
        <v>163076.92307692306</v>
      </c>
      <c r="CC42" s="1"/>
      <c r="CD42" s="1"/>
      <c r="CE42" s="1">
        <v>218000</v>
      </c>
      <c r="CF42" s="1"/>
      <c r="CG42" s="1"/>
      <c r="CH42" s="1">
        <v>120000</v>
      </c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9">
        <v>175263.15789473685</v>
      </c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9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9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9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9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9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9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9"/>
      <c r="HW42" s="1"/>
      <c r="HX42" s="1">
        <v>156379.31034482759</v>
      </c>
      <c r="HY42" s="1">
        <v>145312.5</v>
      </c>
      <c r="HZ42" s="1">
        <v>193687.5</v>
      </c>
      <c r="IA42" s="1">
        <v>121818.18181818182</v>
      </c>
      <c r="IB42" s="1">
        <v>108997.72500000001</v>
      </c>
      <c r="IC42" s="1">
        <v>124285.71428571429</v>
      </c>
      <c r="ID42" s="1">
        <v>116545.4</v>
      </c>
      <c r="IE42" s="1">
        <v>150000</v>
      </c>
      <c r="IF42" s="1">
        <v>104536.51162790698</v>
      </c>
      <c r="IG42" s="1">
        <v>142857.14285714287</v>
      </c>
      <c r="IH42" s="1">
        <v>104423.5294117647</v>
      </c>
      <c r="II42" s="1">
        <v>137053.73134328358</v>
      </c>
      <c r="IJ42" s="1">
        <v>119054.53333333334</v>
      </c>
      <c r="IK42" s="1">
        <v>187805.55555555556</v>
      </c>
      <c r="IL42" s="1">
        <v>120000</v>
      </c>
      <c r="IM42" s="1">
        <v>77272</v>
      </c>
      <c r="IN42" s="1">
        <v>87096.774193548394</v>
      </c>
      <c r="IO42" s="1">
        <v>133303.68073878629</v>
      </c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</row>
    <row r="43" spans="1:268" x14ac:dyDescent="0.4">
      <c r="A43" t="s">
        <v>43</v>
      </c>
      <c r="B43" t="s">
        <v>17</v>
      </c>
      <c r="D43" s="1">
        <v>28333.333333333332</v>
      </c>
      <c r="E43" s="1">
        <v>112800</v>
      </c>
      <c r="F43" s="1">
        <v>103400</v>
      </c>
      <c r="G43" s="1"/>
      <c r="H43" s="1"/>
      <c r="I43" s="1">
        <v>86594</v>
      </c>
      <c r="J43" s="1">
        <v>112800</v>
      </c>
      <c r="K43" s="1">
        <v>122200</v>
      </c>
      <c r="L43" s="1">
        <v>129941.17647058824</v>
      </c>
      <c r="M43" s="1">
        <v>138650</v>
      </c>
      <c r="N43" s="1"/>
      <c r="O43" s="1">
        <v>141000</v>
      </c>
      <c r="P43" s="1">
        <v>112800</v>
      </c>
      <c r="Q43" s="1">
        <v>103400</v>
      </c>
      <c r="R43" s="1">
        <v>98700</v>
      </c>
      <c r="S43" s="1"/>
      <c r="T43" s="1"/>
      <c r="U43" s="9">
        <v>116060.05263157895</v>
      </c>
      <c r="V43" s="1"/>
      <c r="W43" s="1"/>
      <c r="X43" s="1"/>
      <c r="Y43" s="1">
        <v>126900</v>
      </c>
      <c r="Z43" s="1"/>
      <c r="AA43" s="1"/>
      <c r="AB43" s="1">
        <v>70500</v>
      </c>
      <c r="AC43" s="1"/>
      <c r="AD43" s="1">
        <v>89300</v>
      </c>
      <c r="AE43" s="1"/>
      <c r="AF43" s="1"/>
      <c r="AG43" s="1"/>
      <c r="AH43" s="1"/>
      <c r="AI43" s="1"/>
      <c r="AJ43" s="1"/>
      <c r="AK43" s="1"/>
      <c r="AL43" s="1"/>
      <c r="AM43" s="1">
        <v>94000</v>
      </c>
      <c r="AN43" s="9">
        <v>101520</v>
      </c>
      <c r="AO43" s="1"/>
      <c r="AP43" s="1"/>
      <c r="AQ43" s="1"/>
      <c r="AR43" s="1"/>
      <c r="AS43" s="1"/>
      <c r="AT43" s="1"/>
      <c r="AU43" s="1">
        <v>82250</v>
      </c>
      <c r="AV43" s="1"/>
      <c r="AW43" s="1">
        <v>102543</v>
      </c>
      <c r="AX43" s="1"/>
      <c r="AY43" s="1">
        <v>98700</v>
      </c>
      <c r="AZ43" s="1"/>
      <c r="BA43" s="1"/>
      <c r="BB43" s="1"/>
      <c r="BC43" s="1">
        <v>101833.33333333333</v>
      </c>
      <c r="BD43" s="1"/>
      <c r="BE43" s="1"/>
      <c r="BF43" s="1">
        <v>99300</v>
      </c>
      <c r="BG43" s="9">
        <v>97945.25</v>
      </c>
      <c r="BI43" s="1"/>
      <c r="BJ43" s="1">
        <v>103400</v>
      </c>
      <c r="BK43" s="1"/>
      <c r="BL43" s="1"/>
      <c r="BM43" s="1"/>
      <c r="BN43" s="1">
        <v>112800</v>
      </c>
      <c r="BO43" s="1"/>
      <c r="BP43" s="1"/>
      <c r="BQ43" s="1"/>
      <c r="BR43" s="1"/>
      <c r="BS43" s="1"/>
      <c r="BT43" s="1">
        <v>117500</v>
      </c>
      <c r="BU43" s="1">
        <v>94000</v>
      </c>
      <c r="BV43" s="1"/>
      <c r="BW43" s="1"/>
      <c r="BX43" s="1"/>
      <c r="BY43" s="1"/>
      <c r="BZ43" s="9">
        <v>108100</v>
      </c>
      <c r="CA43" s="1"/>
      <c r="CB43" s="1"/>
      <c r="CC43" s="1">
        <v>105750</v>
      </c>
      <c r="CD43" s="1">
        <v>108100</v>
      </c>
      <c r="CE43" s="1"/>
      <c r="CF43" s="1"/>
      <c r="CG43" s="1"/>
      <c r="CH43" s="1"/>
      <c r="CI43" s="1"/>
      <c r="CJ43" s="1">
        <v>94000</v>
      </c>
      <c r="CK43" s="1"/>
      <c r="CL43" s="1"/>
      <c r="CM43" s="1"/>
      <c r="CN43" s="1"/>
      <c r="CO43" s="1">
        <v>98700</v>
      </c>
      <c r="CP43" s="1">
        <v>94000</v>
      </c>
      <c r="CQ43" s="1"/>
      <c r="CR43" s="1"/>
      <c r="CS43" s="9">
        <v>99371.428571428565</v>
      </c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9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9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9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9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9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9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9"/>
      <c r="HW43" s="1"/>
      <c r="HX43" s="1">
        <v>400000</v>
      </c>
      <c r="HY43" s="1">
        <v>108570</v>
      </c>
      <c r="HZ43" s="1">
        <v>101833.33333333333</v>
      </c>
      <c r="IA43" s="1">
        <v>117500</v>
      </c>
      <c r="IB43" s="1">
        <v>120320</v>
      </c>
      <c r="IC43" s="1">
        <v>86693.5</v>
      </c>
      <c r="ID43" s="1">
        <v>98700</v>
      </c>
      <c r="IE43" s="1">
        <v>103827.16666666667</v>
      </c>
      <c r="IF43" s="1">
        <v>128966.43636363637</v>
      </c>
      <c r="IG43" s="1">
        <v>106220</v>
      </c>
      <c r="IH43" s="1">
        <v>106925</v>
      </c>
      <c r="II43" s="1">
        <v>111625</v>
      </c>
      <c r="IJ43" s="1">
        <v>98700</v>
      </c>
      <c r="IK43" s="1">
        <v>96826.153846153844</v>
      </c>
      <c r="IL43" s="1">
        <v>83033.333333333328</v>
      </c>
      <c r="IM43" s="1">
        <v>84600</v>
      </c>
      <c r="IN43" s="1">
        <v>79900</v>
      </c>
      <c r="IO43" s="1">
        <v>122496.03816793892</v>
      </c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</row>
    <row r="44" spans="1:268" x14ac:dyDescent="0.4">
      <c r="A44" t="s">
        <v>43</v>
      </c>
      <c r="B44" t="s">
        <v>25</v>
      </c>
      <c r="D44" s="1"/>
      <c r="E44" s="1">
        <v>57400</v>
      </c>
      <c r="F44" s="1"/>
      <c r="G44" s="1"/>
      <c r="H44" s="1"/>
      <c r="I44" s="1">
        <v>32727</v>
      </c>
      <c r="J44" s="1">
        <v>19034.482758620688</v>
      </c>
      <c r="K44" s="1">
        <v>27000</v>
      </c>
      <c r="L44" s="1">
        <v>36000</v>
      </c>
      <c r="M44" s="1">
        <v>19191.176470588234</v>
      </c>
      <c r="N44" s="1">
        <v>27333.333333333332</v>
      </c>
      <c r="O44" s="1">
        <v>86833.333333333328</v>
      </c>
      <c r="P44" s="1"/>
      <c r="Q44" s="1">
        <v>18635.585365853658</v>
      </c>
      <c r="R44" s="1">
        <v>28500</v>
      </c>
      <c r="S44" s="1">
        <v>27000</v>
      </c>
      <c r="T44" s="1">
        <v>30000</v>
      </c>
      <c r="U44" s="9">
        <v>29714.975903614457</v>
      </c>
      <c r="V44" s="1"/>
      <c r="W44" s="1"/>
      <c r="X44" s="1"/>
      <c r="Y44" s="1"/>
      <c r="Z44" s="1"/>
      <c r="AA44" s="1"/>
      <c r="AB44" s="1">
        <v>30000</v>
      </c>
      <c r="AC44" s="1"/>
      <c r="AD44" s="1">
        <v>27000</v>
      </c>
      <c r="AE44" s="1">
        <v>24000</v>
      </c>
      <c r="AF44" s="1">
        <v>36000</v>
      </c>
      <c r="AG44" s="1">
        <v>32400</v>
      </c>
      <c r="AH44" s="1"/>
      <c r="AI44" s="1"/>
      <c r="AJ44" s="1">
        <v>24000</v>
      </c>
      <c r="AK44" s="1"/>
      <c r="AL44" s="1">
        <v>27068.25</v>
      </c>
      <c r="AM44" s="1">
        <v>21882.352941176472</v>
      </c>
      <c r="AN44" s="9">
        <v>26257.583333333332</v>
      </c>
      <c r="AO44" s="1"/>
      <c r="AP44" s="1"/>
      <c r="AQ44" s="1">
        <v>64740.740740740737</v>
      </c>
      <c r="AR44" s="1"/>
      <c r="AS44" s="1">
        <v>41700</v>
      </c>
      <c r="AT44" s="1"/>
      <c r="AU44" s="1">
        <v>16000</v>
      </c>
      <c r="AV44" s="1"/>
      <c r="AW44" s="1">
        <v>20000</v>
      </c>
      <c r="AX44" s="1">
        <v>20000</v>
      </c>
      <c r="AY44" s="1"/>
      <c r="AZ44" s="1">
        <v>21000</v>
      </c>
      <c r="BA44" s="1">
        <v>33000</v>
      </c>
      <c r="BB44" s="1"/>
      <c r="BC44" s="1">
        <v>26909</v>
      </c>
      <c r="BD44" s="1">
        <v>50000</v>
      </c>
      <c r="BE44" s="1"/>
      <c r="BF44" s="1">
        <v>20000</v>
      </c>
      <c r="BG44" s="9">
        <v>44710.836538461539</v>
      </c>
      <c r="BI44" s="1">
        <v>64146</v>
      </c>
      <c r="BJ44" s="1">
        <v>65153.846153846156</v>
      </c>
      <c r="BK44" s="1">
        <v>18119.047619047618</v>
      </c>
      <c r="BL44" s="1"/>
      <c r="BM44" s="1"/>
      <c r="BN44" s="1">
        <v>28500</v>
      </c>
      <c r="BO44" s="1"/>
      <c r="BP44" s="1">
        <v>23272.5</v>
      </c>
      <c r="BQ44" s="1">
        <v>17000</v>
      </c>
      <c r="BR44" s="1">
        <v>30000</v>
      </c>
      <c r="BS44" s="1">
        <v>39000</v>
      </c>
      <c r="BT44" s="1">
        <v>23050.777777777777</v>
      </c>
      <c r="BU44" s="1">
        <v>22515.166666666668</v>
      </c>
      <c r="BV44" s="1">
        <v>27850</v>
      </c>
      <c r="BW44" s="1"/>
      <c r="BX44" s="1">
        <v>20000</v>
      </c>
      <c r="BY44" s="1">
        <v>16200</v>
      </c>
      <c r="BZ44" s="9">
        <v>32326.676724137931</v>
      </c>
      <c r="CA44" s="1"/>
      <c r="CB44" s="1">
        <v>500000</v>
      </c>
      <c r="CC44" s="1">
        <v>34153.846153846156</v>
      </c>
      <c r="CD44" s="1">
        <v>13867</v>
      </c>
      <c r="CE44" s="1">
        <v>44950</v>
      </c>
      <c r="CF44" s="1"/>
      <c r="CG44" s="1">
        <v>26153.846153846152</v>
      </c>
      <c r="CH44" s="1">
        <v>23875</v>
      </c>
      <c r="CI44" s="1">
        <v>14307.692307692309</v>
      </c>
      <c r="CJ44" s="1">
        <v>30000</v>
      </c>
      <c r="CK44" s="1">
        <v>25636.363636363636</v>
      </c>
      <c r="CL44" s="1">
        <v>14000</v>
      </c>
      <c r="CM44" s="1">
        <v>40800</v>
      </c>
      <c r="CN44" s="1">
        <v>18687.5</v>
      </c>
      <c r="CO44" s="1">
        <v>44769.230769230766</v>
      </c>
      <c r="CP44" s="1">
        <v>29000</v>
      </c>
      <c r="CQ44" s="1">
        <v>27273</v>
      </c>
      <c r="CR44" s="1">
        <v>154750</v>
      </c>
      <c r="CS44" s="9">
        <v>39530.801104972379</v>
      </c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9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9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9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9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9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9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9"/>
      <c r="HW44" s="1"/>
      <c r="HX44" s="1">
        <v>135352.9411764706</v>
      </c>
      <c r="HY44" s="1">
        <v>175324.23333333334</v>
      </c>
      <c r="HZ44" s="1">
        <v>27186.516483516483</v>
      </c>
      <c r="IA44" s="1">
        <v>16352.201257861636</v>
      </c>
      <c r="IB44" s="1">
        <v>20533.333333333332</v>
      </c>
      <c r="IC44" s="1">
        <v>98247.457399103136</v>
      </c>
      <c r="ID44" s="1">
        <v>18869.459770114943</v>
      </c>
      <c r="IE44" s="1">
        <v>25847.55</v>
      </c>
      <c r="IF44" s="1">
        <v>26897.73076923077</v>
      </c>
      <c r="IG44" s="1">
        <v>24363.666666666668</v>
      </c>
      <c r="IH44" s="1">
        <v>35777.777777777781</v>
      </c>
      <c r="II44" s="1">
        <v>21724.047337278105</v>
      </c>
      <c r="IJ44" s="1">
        <v>31534.560000000001</v>
      </c>
      <c r="IK44" s="1">
        <v>23236.489932885906</v>
      </c>
      <c r="IL44" s="1">
        <v>27719.5625</v>
      </c>
      <c r="IM44" s="1">
        <v>32602.875</v>
      </c>
      <c r="IN44" s="1">
        <v>29350.926470588234</v>
      </c>
      <c r="IO44" s="1">
        <v>44824.031465848042</v>
      </c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</row>
    <row r="45" spans="1:268" s="6" customFormat="1" x14ac:dyDescent="0.4">
      <c r="A45" s="6" t="s">
        <v>48</v>
      </c>
      <c r="B45" s="6" t="s">
        <v>34</v>
      </c>
      <c r="C45" s="7">
        <v>218067.85111281657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9">
        <f>C45</f>
        <v>218067.85111281657</v>
      </c>
      <c r="V45" s="7">
        <v>208588.70510948906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9">
        <f>V45</f>
        <v>208588.70510948906</v>
      </c>
      <c r="AO45" s="7">
        <v>213773.8173996176</v>
      </c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9">
        <f>AO45</f>
        <v>213773.8173996176</v>
      </c>
      <c r="BH45" s="7">
        <v>239617.54208273895</v>
      </c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9">
        <f>BH45</f>
        <v>239617.54208273895</v>
      </c>
      <c r="CA45" s="7">
        <v>209838.5152284264</v>
      </c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9">
        <f>CA45</f>
        <v>209838.5152284264</v>
      </c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9">
        <f>CT45</f>
        <v>0</v>
      </c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9">
        <f>DM45</f>
        <v>0</v>
      </c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9">
        <f>EF45</f>
        <v>0</v>
      </c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9">
        <f>EY45</f>
        <v>0</v>
      </c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9">
        <f>FR45</f>
        <v>0</v>
      </c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9">
        <f>GK45</f>
        <v>0</v>
      </c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9">
        <f>HD45</f>
        <v>0</v>
      </c>
      <c r="HW45" s="7">
        <v>207712.61220090537</v>
      </c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>
        <f>HW45</f>
        <v>207712.61220090537</v>
      </c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</row>
    <row r="46" spans="1:268" x14ac:dyDescent="0.4">
      <c r="A46" t="s">
        <v>48</v>
      </c>
      <c r="B46" t="s">
        <v>36</v>
      </c>
      <c r="C46" s="1">
        <v>103882.06928961749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9">
        <f t="shared" ref="U46:U53" si="0">C46</f>
        <v>103882.06928961749</v>
      </c>
      <c r="V46" s="1">
        <v>100602.13082955015</v>
      </c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9">
        <f t="shared" ref="AN46:AN53" si="1">V46</f>
        <v>100602.13082955015</v>
      </c>
      <c r="AO46" s="1">
        <v>105296.58404940924</v>
      </c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9">
        <f t="shared" ref="BG46:BG53" si="2">AO46</f>
        <v>105296.58404940924</v>
      </c>
      <c r="BH46" s="1">
        <v>106861.30648330059</v>
      </c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9">
        <f t="shared" ref="BZ46:BZ53" si="3">BH46</f>
        <v>106861.30648330059</v>
      </c>
      <c r="CA46" s="1">
        <v>98033.755575117364</v>
      </c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9">
        <f t="shared" ref="CS46:CS53" si="4">CA46</f>
        <v>98033.755575117364</v>
      </c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9">
        <f t="shared" ref="DL46:DL53" si="5">CT46</f>
        <v>0</v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9">
        <f t="shared" ref="EE46:EE53" si="6">DM46</f>
        <v>0</v>
      </c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9">
        <f t="shared" ref="EX46:EX53" si="7">EF46</f>
        <v>0</v>
      </c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9">
        <f t="shared" ref="FQ46:FQ53" si="8">EY46</f>
        <v>0</v>
      </c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9">
        <f t="shared" ref="GJ46:GJ53" si="9">FR46</f>
        <v>0</v>
      </c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9">
        <f t="shared" ref="HC46:HC53" si="10">GK46</f>
        <v>0</v>
      </c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9">
        <f t="shared" ref="HV46:HV53" si="11">HD46</f>
        <v>0</v>
      </c>
      <c r="HW46" s="1">
        <v>102145.64066499405</v>
      </c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>
        <f t="shared" ref="IO46:IO53" si="12">HW46</f>
        <v>102145.64066499405</v>
      </c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</row>
    <row r="47" spans="1:268" s="6" customFormat="1" x14ac:dyDescent="0.4">
      <c r="A47" s="6" t="s">
        <v>48</v>
      </c>
      <c r="B47" s="6" t="s">
        <v>20</v>
      </c>
      <c r="C47" s="7">
        <v>159415.21739130435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9">
        <f t="shared" si="0"/>
        <v>159415.21739130435</v>
      </c>
      <c r="V47" s="7">
        <v>181822.7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9">
        <f t="shared" si="1"/>
        <v>181822.7</v>
      </c>
      <c r="AO47" s="7">
        <v>188065.76</v>
      </c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9">
        <f t="shared" si="2"/>
        <v>188065.76</v>
      </c>
      <c r="BH47" s="7">
        <v>192000</v>
      </c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9">
        <f t="shared" si="3"/>
        <v>192000</v>
      </c>
      <c r="CA47" s="7">
        <v>197708.33333333334</v>
      </c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9">
        <f t="shared" si="4"/>
        <v>197708.33333333334</v>
      </c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9">
        <f t="shared" si="5"/>
        <v>0</v>
      </c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9">
        <f t="shared" si="6"/>
        <v>0</v>
      </c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9">
        <f t="shared" si="7"/>
        <v>0</v>
      </c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9">
        <f t="shared" si="8"/>
        <v>0</v>
      </c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9">
        <f t="shared" si="9"/>
        <v>0</v>
      </c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9">
        <f t="shared" si="10"/>
        <v>0</v>
      </c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9">
        <f t="shared" si="11"/>
        <v>0</v>
      </c>
      <c r="HW47" s="7">
        <v>196093.24148606812</v>
      </c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>
        <f t="shared" si="12"/>
        <v>196093.24148606812</v>
      </c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</row>
    <row r="48" spans="1:268" x14ac:dyDescent="0.4">
      <c r="A48" t="s">
        <v>48</v>
      </c>
      <c r="B48" t="s">
        <v>29</v>
      </c>
      <c r="C48" s="1">
        <v>136202.59349593497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9">
        <f t="shared" si="0"/>
        <v>136202.59349593497</v>
      </c>
      <c r="V48" s="1">
        <v>102052.22988505747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9">
        <f t="shared" si="1"/>
        <v>102052.22988505747</v>
      </c>
      <c r="AO48" s="1">
        <v>103621.79651162791</v>
      </c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9">
        <f t="shared" si="2"/>
        <v>103621.79651162791</v>
      </c>
      <c r="BH48" s="1">
        <v>121477.405</v>
      </c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9">
        <f t="shared" si="3"/>
        <v>121477.405</v>
      </c>
      <c r="CA48" s="1">
        <v>94850.715789473688</v>
      </c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9">
        <f t="shared" si="4"/>
        <v>94850.715789473688</v>
      </c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9">
        <f t="shared" si="5"/>
        <v>0</v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9">
        <f t="shared" si="6"/>
        <v>0</v>
      </c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9">
        <f t="shared" si="7"/>
        <v>0</v>
      </c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9">
        <f t="shared" si="8"/>
        <v>0</v>
      </c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9">
        <f t="shared" si="9"/>
        <v>0</v>
      </c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9">
        <f t="shared" si="10"/>
        <v>0</v>
      </c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9">
        <f t="shared" si="11"/>
        <v>0</v>
      </c>
      <c r="HW48" s="1">
        <v>110546.71653898152</v>
      </c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>
        <f t="shared" si="12"/>
        <v>110546.71653898152</v>
      </c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</row>
    <row r="49" spans="1:268" s="6" customFormat="1" x14ac:dyDescent="0.4">
      <c r="A49" s="6" t="s">
        <v>48</v>
      </c>
      <c r="B49" s="6" t="s">
        <v>15</v>
      </c>
      <c r="C49" s="7">
        <v>197500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9">
        <f t="shared" si="0"/>
        <v>197500</v>
      </c>
      <c r="V49" s="7">
        <v>200000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9">
        <f t="shared" si="1"/>
        <v>200000</v>
      </c>
      <c r="AO49" s="7">
        <v>206253</v>
      </c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9">
        <f t="shared" si="2"/>
        <v>206253</v>
      </c>
      <c r="BH49" s="7">
        <v>224027.83333333334</v>
      </c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9">
        <f t="shared" si="3"/>
        <v>224027.83333333334</v>
      </c>
      <c r="CA49" s="7">
        <v>224125</v>
      </c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9">
        <f t="shared" si="4"/>
        <v>224125</v>
      </c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9">
        <f t="shared" si="5"/>
        <v>0</v>
      </c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9">
        <f t="shared" si="6"/>
        <v>0</v>
      </c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9">
        <f t="shared" si="7"/>
        <v>0</v>
      </c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9">
        <f t="shared" si="8"/>
        <v>0</v>
      </c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9">
        <f t="shared" si="9"/>
        <v>0</v>
      </c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9">
        <f t="shared" si="10"/>
        <v>0</v>
      </c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9">
        <f t="shared" si="11"/>
        <v>0</v>
      </c>
      <c r="HW49" s="7">
        <v>196037.26</v>
      </c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>
        <f t="shared" si="12"/>
        <v>196037.26</v>
      </c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</row>
    <row r="50" spans="1:268" x14ac:dyDescent="0.4">
      <c r="A50" t="s">
        <v>48</v>
      </c>
      <c r="B50" t="s">
        <v>23</v>
      </c>
      <c r="C50" s="1">
        <v>102500.55967078189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9">
        <f t="shared" si="0"/>
        <v>102500.55967078189</v>
      </c>
      <c r="V50" s="1">
        <v>91727.270270270266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9">
        <f t="shared" si="1"/>
        <v>91727.270270270266</v>
      </c>
      <c r="AO50" s="1">
        <v>100532.2183908046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9">
        <f t="shared" si="2"/>
        <v>100532.2183908046</v>
      </c>
      <c r="BH50" s="1">
        <v>143157.34431137724</v>
      </c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9">
        <f t="shared" si="3"/>
        <v>143157.34431137724</v>
      </c>
      <c r="CA50" s="1">
        <v>106189.68269230769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9">
        <f t="shared" si="4"/>
        <v>106189.68269230769</v>
      </c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9">
        <f t="shared" si="5"/>
        <v>0</v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9">
        <f t="shared" si="6"/>
        <v>0</v>
      </c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9">
        <f t="shared" si="7"/>
        <v>0</v>
      </c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9">
        <f t="shared" si="8"/>
        <v>0</v>
      </c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9">
        <f t="shared" si="9"/>
        <v>0</v>
      </c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9">
        <f t="shared" si="10"/>
        <v>0</v>
      </c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9">
        <f t="shared" si="11"/>
        <v>0</v>
      </c>
      <c r="HW50" s="1">
        <v>108339.34261501211</v>
      </c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>
        <f t="shared" si="12"/>
        <v>108339.34261501211</v>
      </c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</row>
    <row r="51" spans="1:268" s="6" customFormat="1" x14ac:dyDescent="0.4">
      <c r="A51" s="6" t="s">
        <v>83</v>
      </c>
      <c r="B51" s="6" t="s">
        <v>84</v>
      </c>
      <c r="C51" s="7">
        <v>0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9">
        <f>C51</f>
        <v>0</v>
      </c>
      <c r="V51" s="7">
        <v>0</v>
      </c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9">
        <f>V51</f>
        <v>0</v>
      </c>
      <c r="AO51" s="7"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9">
        <f>AO51</f>
        <v>0</v>
      </c>
      <c r="BH51" s="7">
        <v>0</v>
      </c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9">
        <f>BH51</f>
        <v>0</v>
      </c>
      <c r="CA51" s="7">
        <v>0</v>
      </c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9">
        <f>CA51</f>
        <v>0</v>
      </c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9">
        <f>CT51</f>
        <v>0</v>
      </c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9">
        <f>DM51</f>
        <v>0</v>
      </c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9">
        <f>EF51</f>
        <v>0</v>
      </c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9">
        <f>EY51</f>
        <v>0</v>
      </c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9">
        <f>FR51</f>
        <v>0</v>
      </c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9">
        <f>GK51</f>
        <v>0</v>
      </c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9">
        <f>HD51</f>
        <v>0</v>
      </c>
      <c r="HW51" s="7">
        <v>0</v>
      </c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>
        <f>HW51</f>
        <v>0</v>
      </c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</row>
    <row r="52" spans="1:268" s="6" customFormat="1" x14ac:dyDescent="0.4">
      <c r="A52" s="6" t="s">
        <v>48</v>
      </c>
      <c r="B52" s="6" t="s">
        <v>18</v>
      </c>
      <c r="C52" s="7">
        <v>242945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9">
        <f t="shared" si="0"/>
        <v>242945</v>
      </c>
      <c r="V52" s="7">
        <v>214444.44444444444</v>
      </c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9">
        <f t="shared" si="1"/>
        <v>214444.44444444444</v>
      </c>
      <c r="AO52" s="7">
        <v>255470.25</v>
      </c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9">
        <f t="shared" si="2"/>
        <v>255470.25</v>
      </c>
      <c r="BH52" s="7">
        <v>195000</v>
      </c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9">
        <f t="shared" si="3"/>
        <v>195000</v>
      </c>
      <c r="CA52" s="7">
        <v>210000</v>
      </c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9">
        <f t="shared" si="4"/>
        <v>210000</v>
      </c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9">
        <f t="shared" si="5"/>
        <v>0</v>
      </c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9">
        <f t="shared" si="6"/>
        <v>0</v>
      </c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9">
        <f t="shared" si="7"/>
        <v>0</v>
      </c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9">
        <f t="shared" si="8"/>
        <v>0</v>
      </c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9">
        <f t="shared" si="9"/>
        <v>0</v>
      </c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9">
        <f t="shared" si="10"/>
        <v>0</v>
      </c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9">
        <f t="shared" si="11"/>
        <v>0</v>
      </c>
      <c r="HW52" s="7">
        <v>221711.1475409836</v>
      </c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>
        <f t="shared" si="12"/>
        <v>221711.1475409836</v>
      </c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</row>
    <row r="53" spans="1:268" x14ac:dyDescent="0.4">
      <c r="A53" t="s">
        <v>48</v>
      </c>
      <c r="B53" t="s">
        <v>26</v>
      </c>
      <c r="C53" s="1">
        <v>110642.85365853658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9">
        <f t="shared" si="0"/>
        <v>110642.85365853658</v>
      </c>
      <c r="V53" s="1">
        <v>33189.358078602621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9">
        <f t="shared" si="1"/>
        <v>33189.358078602621</v>
      </c>
      <c r="AO53" s="1">
        <v>94931.441988950275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9">
        <f t="shared" si="2"/>
        <v>94931.441988950275</v>
      </c>
      <c r="BH53" s="1">
        <v>114289.77083333333</v>
      </c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9">
        <f t="shared" si="3"/>
        <v>114289.77083333333</v>
      </c>
      <c r="CA53" s="1">
        <v>243013.69863013699</v>
      </c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9">
        <f t="shared" si="4"/>
        <v>243013.69863013699</v>
      </c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9">
        <f t="shared" si="5"/>
        <v>0</v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9">
        <f t="shared" si="6"/>
        <v>0</v>
      </c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9">
        <f t="shared" si="7"/>
        <v>0</v>
      </c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9">
        <f t="shared" si="8"/>
        <v>0</v>
      </c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9">
        <f t="shared" si="9"/>
        <v>0</v>
      </c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9">
        <f t="shared" si="10"/>
        <v>0</v>
      </c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9">
        <f t="shared" si="11"/>
        <v>0</v>
      </c>
      <c r="HW53" s="1">
        <v>93190.400914634141</v>
      </c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>
        <f t="shared" si="12"/>
        <v>93190.400914634141</v>
      </c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</row>
    <row r="54" spans="1:268" x14ac:dyDescent="0.4">
      <c r="B54" t="s">
        <v>41</v>
      </c>
      <c r="C54" s="1">
        <v>101293.74740066091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9">
        <v>101293.74740066091</v>
      </c>
      <c r="V54" s="1">
        <f>+U15</f>
        <v>101331.98733053583</v>
      </c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9">
        <f>+U15</f>
        <v>101331.98733053583</v>
      </c>
      <c r="AO54" s="1">
        <f>+AN15</f>
        <v>101512.79170576093</v>
      </c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9">
        <f>+AN15</f>
        <v>101512.79170576093</v>
      </c>
      <c r="BH54" s="1">
        <f>+BG15</f>
        <v>101539.78258541288</v>
      </c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9">
        <f>+BG15</f>
        <v>101539.78258541288</v>
      </c>
      <c r="CA54" s="1">
        <f>+BZ15</f>
        <v>101730.27440137442</v>
      </c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9">
        <f>+BZ15</f>
        <v>101730.27440137442</v>
      </c>
      <c r="CT54" s="1">
        <f t="shared" ref="CT54:FE54" si="13">+CA15</f>
        <v>101930.58330197301</v>
      </c>
      <c r="CU54" s="1">
        <f t="shared" si="13"/>
        <v>0</v>
      </c>
      <c r="CV54" s="1">
        <f t="shared" si="13"/>
        <v>0</v>
      </c>
      <c r="CW54" s="1">
        <f t="shared" si="13"/>
        <v>0</v>
      </c>
      <c r="CX54" s="1">
        <f t="shared" si="13"/>
        <v>0</v>
      </c>
      <c r="CY54" s="1">
        <f t="shared" si="13"/>
        <v>0</v>
      </c>
      <c r="CZ54" s="1">
        <f t="shared" si="13"/>
        <v>0</v>
      </c>
      <c r="DA54" s="1">
        <f t="shared" si="13"/>
        <v>0</v>
      </c>
      <c r="DB54" s="1">
        <f t="shared" si="13"/>
        <v>0</v>
      </c>
      <c r="DC54" s="1">
        <f t="shared" si="13"/>
        <v>0</v>
      </c>
      <c r="DD54" s="1">
        <f t="shared" si="13"/>
        <v>0</v>
      </c>
      <c r="DE54" s="1">
        <f t="shared" si="13"/>
        <v>0</v>
      </c>
      <c r="DF54" s="1">
        <f t="shared" si="13"/>
        <v>0</v>
      </c>
      <c r="DG54" s="1">
        <f t="shared" si="13"/>
        <v>0</v>
      </c>
      <c r="DH54" s="1">
        <f t="shared" si="13"/>
        <v>0</v>
      </c>
      <c r="DI54" s="1">
        <f t="shared" si="13"/>
        <v>0</v>
      </c>
      <c r="DJ54" s="1">
        <f t="shared" si="13"/>
        <v>0</v>
      </c>
      <c r="DK54" s="1">
        <f t="shared" si="13"/>
        <v>0</v>
      </c>
      <c r="DL54" s="9">
        <f t="shared" si="13"/>
        <v>101930.58330197301</v>
      </c>
      <c r="DM54" s="1">
        <f t="shared" si="13"/>
        <v>0</v>
      </c>
      <c r="DN54" s="1">
        <f t="shared" si="13"/>
        <v>0</v>
      </c>
      <c r="DO54" s="1">
        <f t="shared" si="13"/>
        <v>0</v>
      </c>
      <c r="DP54" s="1">
        <f t="shared" si="13"/>
        <v>0</v>
      </c>
      <c r="DQ54" s="1">
        <f t="shared" si="13"/>
        <v>0</v>
      </c>
      <c r="DR54" s="1">
        <f t="shared" si="13"/>
        <v>0</v>
      </c>
      <c r="DS54" s="1">
        <f t="shared" si="13"/>
        <v>0</v>
      </c>
      <c r="DT54" s="1">
        <f t="shared" si="13"/>
        <v>0</v>
      </c>
      <c r="DU54" s="1">
        <f t="shared" si="13"/>
        <v>0</v>
      </c>
      <c r="DV54" s="1">
        <f t="shared" si="13"/>
        <v>0</v>
      </c>
      <c r="DW54" s="1">
        <f t="shared" si="13"/>
        <v>0</v>
      </c>
      <c r="DX54" s="1">
        <f t="shared" si="13"/>
        <v>0</v>
      </c>
      <c r="DY54" s="1">
        <f t="shared" si="13"/>
        <v>0</v>
      </c>
      <c r="DZ54" s="1">
        <f t="shared" si="13"/>
        <v>0</v>
      </c>
      <c r="EA54" s="1">
        <f t="shared" si="13"/>
        <v>0</v>
      </c>
      <c r="EB54" s="1">
        <f t="shared" si="13"/>
        <v>0</v>
      </c>
      <c r="EC54" s="1">
        <f t="shared" si="13"/>
        <v>0</v>
      </c>
      <c r="ED54" s="1">
        <f t="shared" si="13"/>
        <v>0</v>
      </c>
      <c r="EE54" s="9">
        <f t="shared" si="13"/>
        <v>0</v>
      </c>
      <c r="EF54" s="1">
        <f t="shared" si="13"/>
        <v>0</v>
      </c>
      <c r="EG54" s="1">
        <f t="shared" si="13"/>
        <v>0</v>
      </c>
      <c r="EH54" s="1">
        <f t="shared" si="13"/>
        <v>0</v>
      </c>
      <c r="EI54" s="1">
        <f t="shared" si="13"/>
        <v>0</v>
      </c>
      <c r="EJ54" s="1">
        <f t="shared" si="13"/>
        <v>0</v>
      </c>
      <c r="EK54" s="1">
        <f t="shared" si="13"/>
        <v>0</v>
      </c>
      <c r="EL54" s="1">
        <f t="shared" si="13"/>
        <v>0</v>
      </c>
      <c r="EM54" s="1">
        <f t="shared" si="13"/>
        <v>0</v>
      </c>
      <c r="EN54" s="1">
        <f t="shared" si="13"/>
        <v>0</v>
      </c>
      <c r="EO54" s="1">
        <f t="shared" si="13"/>
        <v>0</v>
      </c>
      <c r="EP54" s="1">
        <f t="shared" si="13"/>
        <v>0</v>
      </c>
      <c r="EQ54" s="1">
        <f t="shared" si="13"/>
        <v>0</v>
      </c>
      <c r="ER54" s="1">
        <f t="shared" si="13"/>
        <v>0</v>
      </c>
      <c r="ES54" s="1">
        <f t="shared" si="13"/>
        <v>0</v>
      </c>
      <c r="ET54" s="1">
        <f t="shared" si="13"/>
        <v>0</v>
      </c>
      <c r="EU54" s="1">
        <f t="shared" si="13"/>
        <v>0</v>
      </c>
      <c r="EV54" s="1">
        <f t="shared" si="13"/>
        <v>0</v>
      </c>
      <c r="EW54" s="1">
        <f t="shared" si="13"/>
        <v>0</v>
      </c>
      <c r="EX54" s="9">
        <f t="shared" si="13"/>
        <v>0</v>
      </c>
      <c r="EY54" s="1">
        <f t="shared" si="13"/>
        <v>0</v>
      </c>
      <c r="EZ54" s="1">
        <f t="shared" si="13"/>
        <v>0</v>
      </c>
      <c r="FA54" s="1">
        <f t="shared" si="13"/>
        <v>0</v>
      </c>
      <c r="FB54" s="1">
        <f t="shared" si="13"/>
        <v>0</v>
      </c>
      <c r="FC54" s="1">
        <f t="shared" si="13"/>
        <v>0</v>
      </c>
      <c r="FD54" s="1">
        <f t="shared" si="13"/>
        <v>0</v>
      </c>
      <c r="FE54" s="1">
        <f t="shared" si="13"/>
        <v>0</v>
      </c>
      <c r="FF54" s="1">
        <f t="shared" ref="FF54:HQ54" si="14">+EM15</f>
        <v>0</v>
      </c>
      <c r="FG54" s="1">
        <f t="shared" si="14"/>
        <v>0</v>
      </c>
      <c r="FH54" s="1">
        <f t="shared" si="14"/>
        <v>0</v>
      </c>
      <c r="FI54" s="1">
        <f t="shared" si="14"/>
        <v>0</v>
      </c>
      <c r="FJ54" s="1">
        <f t="shared" si="14"/>
        <v>0</v>
      </c>
      <c r="FK54" s="1">
        <f t="shared" si="14"/>
        <v>0</v>
      </c>
      <c r="FL54" s="1">
        <f t="shared" si="14"/>
        <v>0</v>
      </c>
      <c r="FM54" s="1">
        <f t="shared" si="14"/>
        <v>0</v>
      </c>
      <c r="FN54" s="1">
        <f t="shared" si="14"/>
        <v>0</v>
      </c>
      <c r="FO54" s="1">
        <f t="shared" si="14"/>
        <v>0</v>
      </c>
      <c r="FP54" s="1">
        <f t="shared" si="14"/>
        <v>0</v>
      </c>
      <c r="FQ54" s="9">
        <f t="shared" si="14"/>
        <v>0</v>
      </c>
      <c r="FR54" s="1">
        <f t="shared" si="14"/>
        <v>0</v>
      </c>
      <c r="FS54" s="1">
        <f t="shared" si="14"/>
        <v>0</v>
      </c>
      <c r="FT54" s="1">
        <f t="shared" si="14"/>
        <v>0</v>
      </c>
      <c r="FU54" s="1">
        <f t="shared" si="14"/>
        <v>0</v>
      </c>
      <c r="FV54" s="1">
        <f t="shared" si="14"/>
        <v>0</v>
      </c>
      <c r="FW54" s="1">
        <f t="shared" si="14"/>
        <v>0</v>
      </c>
      <c r="FX54" s="1">
        <f t="shared" si="14"/>
        <v>0</v>
      </c>
      <c r="FY54" s="1">
        <f t="shared" si="14"/>
        <v>0</v>
      </c>
      <c r="FZ54" s="1">
        <f t="shared" si="14"/>
        <v>0</v>
      </c>
      <c r="GA54" s="1">
        <f t="shared" si="14"/>
        <v>0</v>
      </c>
      <c r="GB54" s="1">
        <f t="shared" si="14"/>
        <v>0</v>
      </c>
      <c r="GC54" s="1">
        <f t="shared" si="14"/>
        <v>0</v>
      </c>
      <c r="GD54" s="1">
        <f t="shared" si="14"/>
        <v>0</v>
      </c>
      <c r="GE54" s="1">
        <f t="shared" si="14"/>
        <v>0</v>
      </c>
      <c r="GF54" s="1">
        <f t="shared" si="14"/>
        <v>0</v>
      </c>
      <c r="GG54" s="1">
        <f t="shared" si="14"/>
        <v>0</v>
      </c>
      <c r="GH54" s="1">
        <f t="shared" si="14"/>
        <v>0</v>
      </c>
      <c r="GI54" s="1">
        <f t="shared" si="14"/>
        <v>0</v>
      </c>
      <c r="GJ54" s="9">
        <f t="shared" si="14"/>
        <v>0</v>
      </c>
      <c r="GK54" s="1">
        <f t="shared" si="14"/>
        <v>0</v>
      </c>
      <c r="GL54" s="1">
        <f t="shared" si="14"/>
        <v>0</v>
      </c>
      <c r="GM54" s="1">
        <f t="shared" si="14"/>
        <v>0</v>
      </c>
      <c r="GN54" s="1">
        <f t="shared" si="14"/>
        <v>0</v>
      </c>
      <c r="GO54" s="1">
        <f t="shared" si="14"/>
        <v>0</v>
      </c>
      <c r="GP54" s="1">
        <f t="shared" si="14"/>
        <v>0</v>
      </c>
      <c r="GQ54" s="1">
        <f t="shared" si="14"/>
        <v>0</v>
      </c>
      <c r="GR54" s="1">
        <f t="shared" si="14"/>
        <v>0</v>
      </c>
      <c r="GS54" s="1">
        <f t="shared" si="14"/>
        <v>0</v>
      </c>
      <c r="GT54" s="1">
        <f t="shared" si="14"/>
        <v>0</v>
      </c>
      <c r="GU54" s="1">
        <f t="shared" si="14"/>
        <v>0</v>
      </c>
      <c r="GV54" s="1">
        <f t="shared" si="14"/>
        <v>0</v>
      </c>
      <c r="GW54" s="1">
        <f t="shared" si="14"/>
        <v>0</v>
      </c>
      <c r="GX54" s="1">
        <f t="shared" si="14"/>
        <v>0</v>
      </c>
      <c r="GY54" s="1">
        <f t="shared" si="14"/>
        <v>0</v>
      </c>
      <c r="GZ54" s="1">
        <f t="shared" si="14"/>
        <v>0</v>
      </c>
      <c r="HA54" s="1">
        <f t="shared" si="14"/>
        <v>0</v>
      </c>
      <c r="HB54" s="1">
        <f t="shared" si="14"/>
        <v>0</v>
      </c>
      <c r="HC54" s="9">
        <f t="shared" si="14"/>
        <v>0</v>
      </c>
      <c r="HD54" s="1">
        <f t="shared" si="14"/>
        <v>0</v>
      </c>
      <c r="HE54" s="1">
        <f t="shared" si="14"/>
        <v>0</v>
      </c>
      <c r="HF54" s="1">
        <f t="shared" si="14"/>
        <v>0</v>
      </c>
      <c r="HG54" s="1">
        <f t="shared" si="14"/>
        <v>0</v>
      </c>
      <c r="HH54" s="1">
        <f t="shared" si="14"/>
        <v>0</v>
      </c>
      <c r="HI54" s="1">
        <f t="shared" si="14"/>
        <v>0</v>
      </c>
      <c r="HJ54" s="1">
        <f t="shared" si="14"/>
        <v>0</v>
      </c>
      <c r="HK54" s="1">
        <f t="shared" si="14"/>
        <v>0</v>
      </c>
      <c r="HL54" s="1">
        <f t="shared" si="14"/>
        <v>0</v>
      </c>
      <c r="HM54" s="1">
        <f t="shared" si="14"/>
        <v>0</v>
      </c>
      <c r="HN54" s="1">
        <f t="shared" si="14"/>
        <v>0</v>
      </c>
      <c r="HO54" s="1">
        <f t="shared" si="14"/>
        <v>0</v>
      </c>
      <c r="HP54" s="1">
        <f t="shared" si="14"/>
        <v>0</v>
      </c>
      <c r="HQ54" s="1">
        <f t="shared" si="14"/>
        <v>0</v>
      </c>
      <c r="HR54" s="1">
        <f>+GY15</f>
        <v>0</v>
      </c>
      <c r="HS54" s="1">
        <f>+GZ15</f>
        <v>0</v>
      </c>
      <c r="HT54" s="1">
        <f>+HA15</f>
        <v>0</v>
      </c>
      <c r="HU54" s="1">
        <f>+HB15</f>
        <v>0</v>
      </c>
      <c r="HV54" s="9">
        <f>+HC15</f>
        <v>0</v>
      </c>
      <c r="HW54" s="1">
        <v>106693.51878270104</v>
      </c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>
        <f>+HW54</f>
        <v>106693.51878270104</v>
      </c>
      <c r="IP54" s="1">
        <v>105338.18876244963</v>
      </c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>
        <f>+IP54</f>
        <v>105338.18876244963</v>
      </c>
    </row>
    <row r="55" spans="1:268" x14ac:dyDescent="0.4">
      <c r="B55" t="s">
        <v>40</v>
      </c>
      <c r="C55" s="1">
        <v>205439.78145053881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9">
        <v>205439.78145053881</v>
      </c>
      <c r="V55" s="1">
        <f>+U16</f>
        <v>204824.49050401754</v>
      </c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9">
        <f>+U16</f>
        <v>204824.49050401754</v>
      </c>
      <c r="AO55" s="1">
        <f>+AN16</f>
        <v>206666.39760638299</v>
      </c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9">
        <f>+AN16</f>
        <v>206666.39760638299</v>
      </c>
      <c r="BH55" s="1">
        <f>+BG16</f>
        <v>206662.84534334505</v>
      </c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9">
        <f>+BG16</f>
        <v>206662.84534334505</v>
      </c>
      <c r="CA55" s="1">
        <f>+BZ16</f>
        <v>207555.34665371067</v>
      </c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9">
        <f>+BZ16</f>
        <v>207555.34665371067</v>
      </c>
      <c r="CT55" s="1">
        <f t="shared" ref="CT55:FE58" si="15">+CA16</f>
        <v>208319.7939181003</v>
      </c>
      <c r="CU55" s="1">
        <f t="shared" si="15"/>
        <v>0</v>
      </c>
      <c r="CV55" s="1">
        <f t="shared" si="15"/>
        <v>0</v>
      </c>
      <c r="CW55" s="1">
        <f t="shared" si="15"/>
        <v>0</v>
      </c>
      <c r="CX55" s="1">
        <f t="shared" si="15"/>
        <v>0</v>
      </c>
      <c r="CY55" s="1">
        <f t="shared" si="15"/>
        <v>0</v>
      </c>
      <c r="CZ55" s="1">
        <f t="shared" si="15"/>
        <v>0</v>
      </c>
      <c r="DA55" s="1">
        <f t="shared" si="15"/>
        <v>0</v>
      </c>
      <c r="DB55" s="1">
        <f t="shared" si="15"/>
        <v>0</v>
      </c>
      <c r="DC55" s="1">
        <f t="shared" si="15"/>
        <v>0</v>
      </c>
      <c r="DD55" s="1">
        <f t="shared" si="15"/>
        <v>0</v>
      </c>
      <c r="DE55" s="1">
        <f t="shared" si="15"/>
        <v>0</v>
      </c>
      <c r="DF55" s="1">
        <f t="shared" si="15"/>
        <v>0</v>
      </c>
      <c r="DG55" s="1">
        <f t="shared" si="15"/>
        <v>0</v>
      </c>
      <c r="DH55" s="1">
        <f t="shared" si="15"/>
        <v>0</v>
      </c>
      <c r="DI55" s="1">
        <f t="shared" si="15"/>
        <v>0</v>
      </c>
      <c r="DJ55" s="1">
        <f t="shared" si="15"/>
        <v>0</v>
      </c>
      <c r="DK55" s="1">
        <f t="shared" si="15"/>
        <v>0</v>
      </c>
      <c r="DL55" s="9">
        <f t="shared" si="15"/>
        <v>208319.7939181003</v>
      </c>
      <c r="DM55" s="1">
        <f t="shared" si="15"/>
        <v>0</v>
      </c>
      <c r="DN55" s="1">
        <f t="shared" si="15"/>
        <v>0</v>
      </c>
      <c r="DO55" s="1">
        <f t="shared" si="15"/>
        <v>0</v>
      </c>
      <c r="DP55" s="1">
        <f t="shared" si="15"/>
        <v>0</v>
      </c>
      <c r="DQ55" s="1">
        <f t="shared" si="15"/>
        <v>0</v>
      </c>
      <c r="DR55" s="1">
        <f t="shared" si="15"/>
        <v>0</v>
      </c>
      <c r="DS55" s="1">
        <f t="shared" si="15"/>
        <v>0</v>
      </c>
      <c r="DT55" s="1">
        <f t="shared" si="15"/>
        <v>0</v>
      </c>
      <c r="DU55" s="1">
        <f t="shared" si="15"/>
        <v>0</v>
      </c>
      <c r="DV55" s="1">
        <f t="shared" si="15"/>
        <v>0</v>
      </c>
      <c r="DW55" s="1">
        <f t="shared" si="15"/>
        <v>0</v>
      </c>
      <c r="DX55" s="1">
        <f t="shared" si="15"/>
        <v>0</v>
      </c>
      <c r="DY55" s="1">
        <f t="shared" si="15"/>
        <v>0</v>
      </c>
      <c r="DZ55" s="1">
        <f t="shared" si="15"/>
        <v>0</v>
      </c>
      <c r="EA55" s="1">
        <f t="shared" si="15"/>
        <v>0</v>
      </c>
      <c r="EB55" s="1">
        <f t="shared" si="15"/>
        <v>0</v>
      </c>
      <c r="EC55" s="1">
        <f t="shared" si="15"/>
        <v>0</v>
      </c>
      <c r="ED55" s="1">
        <f t="shared" si="15"/>
        <v>0</v>
      </c>
      <c r="EE55" s="9">
        <f t="shared" si="15"/>
        <v>0</v>
      </c>
      <c r="EF55" s="1">
        <f t="shared" si="15"/>
        <v>0</v>
      </c>
      <c r="EG55" s="1">
        <f t="shared" si="15"/>
        <v>0</v>
      </c>
      <c r="EH55" s="1">
        <f t="shared" si="15"/>
        <v>0</v>
      </c>
      <c r="EI55" s="1">
        <f t="shared" si="15"/>
        <v>0</v>
      </c>
      <c r="EJ55" s="1">
        <f t="shared" si="15"/>
        <v>0</v>
      </c>
      <c r="EK55" s="1">
        <f t="shared" si="15"/>
        <v>0</v>
      </c>
      <c r="EL55" s="1">
        <f t="shared" si="15"/>
        <v>0</v>
      </c>
      <c r="EM55" s="1">
        <f t="shared" si="15"/>
        <v>0</v>
      </c>
      <c r="EN55" s="1">
        <f t="shared" si="15"/>
        <v>0</v>
      </c>
      <c r="EO55" s="1">
        <f t="shared" si="15"/>
        <v>0</v>
      </c>
      <c r="EP55" s="1">
        <f t="shared" si="15"/>
        <v>0</v>
      </c>
      <c r="EQ55" s="1">
        <f t="shared" si="15"/>
        <v>0</v>
      </c>
      <c r="ER55" s="1">
        <f t="shared" si="15"/>
        <v>0</v>
      </c>
      <c r="ES55" s="1">
        <f t="shared" si="15"/>
        <v>0</v>
      </c>
      <c r="ET55" s="1">
        <f t="shared" si="15"/>
        <v>0</v>
      </c>
      <c r="EU55" s="1">
        <f t="shared" si="15"/>
        <v>0</v>
      </c>
      <c r="EV55" s="1">
        <f t="shared" si="15"/>
        <v>0</v>
      </c>
      <c r="EW55" s="1">
        <f t="shared" si="15"/>
        <v>0</v>
      </c>
      <c r="EX55" s="9">
        <f t="shared" si="15"/>
        <v>0</v>
      </c>
      <c r="EY55" s="1">
        <f t="shared" si="15"/>
        <v>0</v>
      </c>
      <c r="EZ55" s="1">
        <f t="shared" si="15"/>
        <v>0</v>
      </c>
      <c r="FA55" s="1">
        <f t="shared" si="15"/>
        <v>0</v>
      </c>
      <c r="FB55" s="1">
        <f t="shared" si="15"/>
        <v>0</v>
      </c>
      <c r="FC55" s="1">
        <f t="shared" si="15"/>
        <v>0</v>
      </c>
      <c r="FD55" s="1">
        <f t="shared" si="15"/>
        <v>0</v>
      </c>
      <c r="FE55" s="1">
        <f t="shared" si="15"/>
        <v>0</v>
      </c>
      <c r="FF55" s="1">
        <f t="shared" ref="FF55:HQ58" si="16">+EM16</f>
        <v>0</v>
      </c>
      <c r="FG55" s="1">
        <f t="shared" si="16"/>
        <v>0</v>
      </c>
      <c r="FH55" s="1">
        <f t="shared" si="16"/>
        <v>0</v>
      </c>
      <c r="FI55" s="1">
        <f t="shared" si="16"/>
        <v>0</v>
      </c>
      <c r="FJ55" s="1">
        <f t="shared" si="16"/>
        <v>0</v>
      </c>
      <c r="FK55" s="1">
        <f t="shared" si="16"/>
        <v>0</v>
      </c>
      <c r="FL55" s="1">
        <f t="shared" si="16"/>
        <v>0</v>
      </c>
      <c r="FM55" s="1">
        <f t="shared" si="16"/>
        <v>0</v>
      </c>
      <c r="FN55" s="1">
        <f t="shared" si="16"/>
        <v>0</v>
      </c>
      <c r="FO55" s="1">
        <f t="shared" si="16"/>
        <v>0</v>
      </c>
      <c r="FP55" s="1">
        <f t="shared" si="16"/>
        <v>0</v>
      </c>
      <c r="FQ55" s="9">
        <f t="shared" si="16"/>
        <v>0</v>
      </c>
      <c r="FR55" s="1">
        <f t="shared" si="16"/>
        <v>0</v>
      </c>
      <c r="FS55" s="1">
        <f t="shared" si="16"/>
        <v>0</v>
      </c>
      <c r="FT55" s="1">
        <f t="shared" si="16"/>
        <v>0</v>
      </c>
      <c r="FU55" s="1">
        <f t="shared" si="16"/>
        <v>0</v>
      </c>
      <c r="FV55" s="1">
        <f t="shared" si="16"/>
        <v>0</v>
      </c>
      <c r="FW55" s="1">
        <f t="shared" si="16"/>
        <v>0</v>
      </c>
      <c r="FX55" s="1">
        <f t="shared" si="16"/>
        <v>0</v>
      </c>
      <c r="FY55" s="1">
        <f t="shared" si="16"/>
        <v>0</v>
      </c>
      <c r="FZ55" s="1">
        <f t="shared" si="16"/>
        <v>0</v>
      </c>
      <c r="GA55" s="1">
        <f t="shared" si="16"/>
        <v>0</v>
      </c>
      <c r="GB55" s="1">
        <f t="shared" si="16"/>
        <v>0</v>
      </c>
      <c r="GC55" s="1">
        <f t="shared" si="16"/>
        <v>0</v>
      </c>
      <c r="GD55" s="1">
        <f t="shared" si="16"/>
        <v>0</v>
      </c>
      <c r="GE55" s="1">
        <f t="shared" si="16"/>
        <v>0</v>
      </c>
      <c r="GF55" s="1">
        <f t="shared" si="16"/>
        <v>0</v>
      </c>
      <c r="GG55" s="1">
        <f t="shared" si="16"/>
        <v>0</v>
      </c>
      <c r="GH55" s="1">
        <f t="shared" si="16"/>
        <v>0</v>
      </c>
      <c r="GI55" s="1">
        <f t="shared" si="16"/>
        <v>0</v>
      </c>
      <c r="GJ55" s="9">
        <f t="shared" si="16"/>
        <v>0</v>
      </c>
      <c r="GK55" s="1">
        <f t="shared" si="16"/>
        <v>0</v>
      </c>
      <c r="GL55" s="1">
        <f t="shared" si="16"/>
        <v>0</v>
      </c>
      <c r="GM55" s="1">
        <f t="shared" si="16"/>
        <v>0</v>
      </c>
      <c r="GN55" s="1">
        <f t="shared" si="16"/>
        <v>0</v>
      </c>
      <c r="GO55" s="1">
        <f t="shared" si="16"/>
        <v>0</v>
      </c>
      <c r="GP55" s="1">
        <f t="shared" si="16"/>
        <v>0</v>
      </c>
      <c r="GQ55" s="1">
        <f t="shared" si="16"/>
        <v>0</v>
      </c>
      <c r="GR55" s="1">
        <f t="shared" si="16"/>
        <v>0</v>
      </c>
      <c r="GS55" s="1">
        <f t="shared" si="16"/>
        <v>0</v>
      </c>
      <c r="GT55" s="1">
        <f t="shared" si="16"/>
        <v>0</v>
      </c>
      <c r="GU55" s="1">
        <f t="shared" si="16"/>
        <v>0</v>
      </c>
      <c r="GV55" s="1">
        <f t="shared" si="16"/>
        <v>0</v>
      </c>
      <c r="GW55" s="1">
        <f t="shared" si="16"/>
        <v>0</v>
      </c>
      <c r="GX55" s="1">
        <f t="shared" si="16"/>
        <v>0</v>
      </c>
      <c r="GY55" s="1">
        <f t="shared" si="16"/>
        <v>0</v>
      </c>
      <c r="GZ55" s="1">
        <f t="shared" si="16"/>
        <v>0</v>
      </c>
      <c r="HA55" s="1">
        <f t="shared" si="16"/>
        <v>0</v>
      </c>
      <c r="HB55" s="1">
        <f t="shared" si="16"/>
        <v>0</v>
      </c>
      <c r="HC55" s="9">
        <f t="shared" si="16"/>
        <v>0</v>
      </c>
      <c r="HD55" s="1">
        <f t="shared" si="16"/>
        <v>0</v>
      </c>
      <c r="HE55" s="1">
        <f t="shared" si="16"/>
        <v>0</v>
      </c>
      <c r="HF55" s="1">
        <f t="shared" si="16"/>
        <v>0</v>
      </c>
      <c r="HG55" s="1">
        <f t="shared" si="16"/>
        <v>0</v>
      </c>
      <c r="HH55" s="1">
        <f t="shared" si="16"/>
        <v>0</v>
      </c>
      <c r="HI55" s="1">
        <f t="shared" si="16"/>
        <v>0</v>
      </c>
      <c r="HJ55" s="1">
        <f t="shared" si="16"/>
        <v>0</v>
      </c>
      <c r="HK55" s="1">
        <f t="shared" si="16"/>
        <v>0</v>
      </c>
      <c r="HL55" s="1">
        <f t="shared" si="16"/>
        <v>0</v>
      </c>
      <c r="HM55" s="1">
        <f t="shared" si="16"/>
        <v>0</v>
      </c>
      <c r="HN55" s="1">
        <f t="shared" si="16"/>
        <v>0</v>
      </c>
      <c r="HO55" s="1">
        <f t="shared" si="16"/>
        <v>0</v>
      </c>
      <c r="HP55" s="1">
        <f t="shared" si="16"/>
        <v>0</v>
      </c>
      <c r="HQ55" s="1">
        <f t="shared" si="16"/>
        <v>0</v>
      </c>
      <c r="HR55" s="1">
        <f t="shared" ref="HR55:HV59" si="17">+GY16</f>
        <v>0</v>
      </c>
      <c r="HS55" s="1">
        <f t="shared" si="17"/>
        <v>0</v>
      </c>
      <c r="HT55" s="1">
        <f t="shared" si="17"/>
        <v>0</v>
      </c>
      <c r="HU55" s="1">
        <f t="shared" si="17"/>
        <v>0</v>
      </c>
      <c r="HV55" s="9">
        <f t="shared" si="17"/>
        <v>0</v>
      </c>
      <c r="HW55" s="1">
        <v>211125.63503427943</v>
      </c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>
        <f>+HW55</f>
        <v>211125.63503427943</v>
      </c>
      <c r="IP55" s="1">
        <v>213812.84090965698</v>
      </c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>
        <f>+IP55</f>
        <v>213812.84090965698</v>
      </c>
    </row>
    <row r="56" spans="1:268" x14ac:dyDescent="0.4">
      <c r="B56" t="s">
        <v>88</v>
      </c>
      <c r="C56" s="1"/>
      <c r="D56" s="1">
        <v>222700.52206736352</v>
      </c>
      <c r="E56" s="1">
        <v>176703.52509489667</v>
      </c>
      <c r="F56" s="1">
        <v>196161.72320461928</v>
      </c>
      <c r="G56" s="1">
        <v>173806.70300751881</v>
      </c>
      <c r="H56" s="1">
        <v>112192.18004012037</v>
      </c>
      <c r="I56" s="1">
        <v>115509.23132530121</v>
      </c>
      <c r="J56" s="1">
        <v>125965.07430453879</v>
      </c>
      <c r="K56" s="1">
        <v>128710.10955710955</v>
      </c>
      <c r="L56" s="1">
        <v>116527.12720848057</v>
      </c>
      <c r="M56" s="1">
        <v>144936.9599662874</v>
      </c>
      <c r="N56" s="1">
        <v>144918.48315005322</v>
      </c>
      <c r="O56" s="1">
        <v>152663.11087689715</v>
      </c>
      <c r="P56" s="1">
        <v>114202.68509447166</v>
      </c>
      <c r="Q56" s="1">
        <v>227410.80209059233</v>
      </c>
      <c r="R56" s="1">
        <v>96681.303587856484</v>
      </c>
      <c r="S56" s="1">
        <v>100386.98806941432</v>
      </c>
      <c r="T56" s="1">
        <v>102904.26707234618</v>
      </c>
      <c r="U56" s="9">
        <v>143410.86146423648</v>
      </c>
      <c r="V56" s="1"/>
      <c r="W56" s="1">
        <f>+D17</f>
        <v>224150.23884057972</v>
      </c>
      <c r="X56" s="1">
        <f t="shared" ref="X56:AN58" si="18">+E17</f>
        <v>177445.94616362866</v>
      </c>
      <c r="Y56" s="1">
        <f t="shared" si="18"/>
        <v>197127.20746003551</v>
      </c>
      <c r="Z56" s="1">
        <f t="shared" si="18"/>
        <v>178874.60904449306</v>
      </c>
      <c r="AA56" s="1">
        <f t="shared" si="18"/>
        <v>112442.50957290133</v>
      </c>
      <c r="AB56" s="1">
        <f t="shared" si="18"/>
        <v>115288.67774343122</v>
      </c>
      <c r="AC56" s="1">
        <f t="shared" si="18"/>
        <v>126264.75973548861</v>
      </c>
      <c r="AD56" s="1">
        <f t="shared" si="18"/>
        <v>128270.37188434695</v>
      </c>
      <c r="AE56" s="1">
        <f t="shared" si="18"/>
        <v>116715.58004268943</v>
      </c>
      <c r="AF56" s="1">
        <f t="shared" si="18"/>
        <v>145000.09035656403</v>
      </c>
      <c r="AG56" s="1">
        <f t="shared" si="18"/>
        <v>145977.49153140438</v>
      </c>
      <c r="AH56" s="1">
        <f t="shared" si="18"/>
        <v>152138.43242122719</v>
      </c>
      <c r="AI56" s="1">
        <f t="shared" si="18"/>
        <v>114937.91933240612</v>
      </c>
      <c r="AJ56" s="1">
        <f t="shared" si="18"/>
        <v>229969.79987088445</v>
      </c>
      <c r="AK56" s="1">
        <f t="shared" si="18"/>
        <v>97091.48250460405</v>
      </c>
      <c r="AL56" s="1">
        <f t="shared" si="18"/>
        <v>100480.96267837541</v>
      </c>
      <c r="AM56" s="1">
        <f t="shared" si="18"/>
        <v>102893.4033444816</v>
      </c>
      <c r="AN56" s="9">
        <f t="shared" si="18"/>
        <v>144373.29303191087</v>
      </c>
      <c r="AO56" s="1"/>
      <c r="AP56" s="1">
        <f t="shared" ref="AP56:BE59" si="19">+W17</f>
        <v>224245.8033545402</v>
      </c>
      <c r="AQ56" s="1">
        <f t="shared" si="19"/>
        <v>179358.97346251053</v>
      </c>
      <c r="AR56" s="1">
        <f t="shared" si="19"/>
        <v>198441.33796791444</v>
      </c>
      <c r="AS56" s="1">
        <f t="shared" si="19"/>
        <v>179936.77885652642</v>
      </c>
      <c r="AT56" s="1">
        <f t="shared" si="19"/>
        <v>113319.77043181263</v>
      </c>
      <c r="AU56" s="1">
        <f t="shared" si="19"/>
        <v>117178.37955073586</v>
      </c>
      <c r="AV56" s="1">
        <f t="shared" si="19"/>
        <v>126986.73164464024</v>
      </c>
      <c r="AW56" s="1">
        <f t="shared" si="19"/>
        <v>130994.77366666666</v>
      </c>
      <c r="AX56" s="1">
        <f t="shared" si="19"/>
        <v>117524.9304</v>
      </c>
      <c r="AY56" s="1">
        <f t="shared" si="19"/>
        <v>147625.62961460446</v>
      </c>
      <c r="AZ56" s="1">
        <f t="shared" si="19"/>
        <v>147109.8156876539</v>
      </c>
      <c r="BA56" s="1">
        <f t="shared" si="19"/>
        <v>156801.64031456952</v>
      </c>
      <c r="BB56" s="1">
        <f t="shared" si="19"/>
        <v>116620.82418346073</v>
      </c>
      <c r="BC56" s="1">
        <f t="shared" si="19"/>
        <v>230132.07372400755</v>
      </c>
      <c r="BD56" s="1">
        <f t="shared" si="19"/>
        <v>98199.684018264845</v>
      </c>
      <c r="BE56" s="1">
        <f t="shared" si="19"/>
        <v>101379.69693654266</v>
      </c>
      <c r="BF56" s="1">
        <f t="shared" ref="BF56:BG59" si="20">+AM17</f>
        <v>105271.72214941023</v>
      </c>
      <c r="BG56" s="9">
        <f t="shared" si="20"/>
        <v>145952.07317256404</v>
      </c>
      <c r="BH56" s="1"/>
      <c r="BI56" s="1">
        <f t="shared" ref="BI56:BX59" si="21">+AP17</f>
        <v>221785.75013698629</v>
      </c>
      <c r="BJ56" s="1">
        <f t="shared" si="21"/>
        <v>178921.8026094276</v>
      </c>
      <c r="BK56" s="1">
        <f t="shared" si="21"/>
        <v>198505.99575221239</v>
      </c>
      <c r="BL56" s="1">
        <f t="shared" si="21"/>
        <v>179615.32198581559</v>
      </c>
      <c r="BM56" s="1">
        <f t="shared" si="21"/>
        <v>113525.97825555826</v>
      </c>
      <c r="BN56" s="1">
        <f t="shared" si="21"/>
        <v>116983.71841704719</v>
      </c>
      <c r="BO56" s="1">
        <f t="shared" si="21"/>
        <v>125628.5169586284</v>
      </c>
      <c r="BP56" s="1">
        <f t="shared" si="21"/>
        <v>131346.99933020765</v>
      </c>
      <c r="BQ56" s="1">
        <f t="shared" si="21"/>
        <v>117775.2017098584</v>
      </c>
      <c r="BR56" s="1">
        <f t="shared" si="21"/>
        <v>149759.32844109481</v>
      </c>
      <c r="BS56" s="1">
        <f t="shared" si="21"/>
        <v>148161.00618181817</v>
      </c>
      <c r="BT56" s="1">
        <f t="shared" si="21"/>
        <v>155979.41585365855</v>
      </c>
      <c r="BU56" s="1">
        <f t="shared" si="21"/>
        <v>116440.6882312457</v>
      </c>
      <c r="BV56" s="1">
        <f t="shared" si="21"/>
        <v>233356.12884978001</v>
      </c>
      <c r="BW56" s="1">
        <f t="shared" si="21"/>
        <v>98183.865481076151</v>
      </c>
      <c r="BX56" s="1">
        <f t="shared" si="21"/>
        <v>100915.83563096501</v>
      </c>
      <c r="BY56" s="1">
        <f t="shared" ref="BY56:BZ59" si="22">+BF17</f>
        <v>105296.76762402088</v>
      </c>
      <c r="BZ56" s="9">
        <f t="shared" si="22"/>
        <v>146269.94926199262</v>
      </c>
      <c r="CA56" s="1"/>
      <c r="CB56" s="1">
        <f t="shared" ref="CB56:CQ59" si="23">+BI17</f>
        <v>224375.70019821604</v>
      </c>
      <c r="CC56" s="1">
        <f t="shared" si="23"/>
        <v>179634.7204072974</v>
      </c>
      <c r="CD56" s="1">
        <f t="shared" si="23"/>
        <v>198558.2855128657</v>
      </c>
      <c r="CE56" s="1">
        <f t="shared" si="23"/>
        <v>180085.04694669961</v>
      </c>
      <c r="CF56" s="1">
        <f t="shared" si="23"/>
        <v>113677.681640625</v>
      </c>
      <c r="CG56" s="1">
        <f t="shared" si="23"/>
        <v>117218.23480243162</v>
      </c>
      <c r="CH56" s="1">
        <f t="shared" si="23"/>
        <v>125784.78755124861</v>
      </c>
      <c r="CI56" s="1">
        <f t="shared" si="23"/>
        <v>131244.87228351721</v>
      </c>
      <c r="CJ56" s="1">
        <f t="shared" si="23"/>
        <v>117962.34938469769</v>
      </c>
      <c r="CK56" s="1">
        <f t="shared" si="23"/>
        <v>149753.29261693082</v>
      </c>
      <c r="CL56" s="1">
        <f t="shared" si="23"/>
        <v>147304.39387464387</v>
      </c>
      <c r="CM56" s="1">
        <f t="shared" si="23"/>
        <v>156147.19377022653</v>
      </c>
      <c r="CN56" s="1">
        <f t="shared" si="23"/>
        <v>116588.95352016404</v>
      </c>
      <c r="CO56" s="1">
        <f t="shared" si="23"/>
        <v>227197.01154891305</v>
      </c>
      <c r="CP56" s="1">
        <f t="shared" si="23"/>
        <v>98403.402099497951</v>
      </c>
      <c r="CQ56" s="1">
        <f t="shared" si="23"/>
        <v>101628.25448785639</v>
      </c>
      <c r="CR56" s="1">
        <f t="shared" ref="CR56:CS59" si="24">+BY17</f>
        <v>105221.79948420374</v>
      </c>
      <c r="CS56" s="9">
        <f t="shared" si="24"/>
        <v>146373.26722001983</v>
      </c>
      <c r="CT56" s="1">
        <f t="shared" si="15"/>
        <v>0</v>
      </c>
      <c r="CU56" s="1">
        <f t="shared" si="15"/>
        <v>224196.71640265713</v>
      </c>
      <c r="CV56" s="1">
        <f t="shared" si="15"/>
        <v>179867.51575809199</v>
      </c>
      <c r="CW56" s="1">
        <f t="shared" si="15"/>
        <v>198901.85370173573</v>
      </c>
      <c r="CX56" s="1">
        <f t="shared" si="15"/>
        <v>180309.42706131079</v>
      </c>
      <c r="CY56" s="1">
        <f t="shared" si="15"/>
        <v>114022.21060311284</v>
      </c>
      <c r="CZ56" s="1">
        <f t="shared" si="15"/>
        <v>117669.36363636363</v>
      </c>
      <c r="DA56" s="1">
        <f t="shared" si="15"/>
        <v>126127.09077325364</v>
      </c>
      <c r="DB56" s="1">
        <f t="shared" si="15"/>
        <v>131860.52140468228</v>
      </c>
      <c r="DC56" s="1">
        <f t="shared" si="15"/>
        <v>118082.31283856988</v>
      </c>
      <c r="DD56" s="1">
        <f t="shared" si="15"/>
        <v>156314.89787395595</v>
      </c>
      <c r="DE56" s="1">
        <f t="shared" si="15"/>
        <v>147533.26156583629</v>
      </c>
      <c r="DF56" s="1">
        <f t="shared" si="15"/>
        <v>157834.70879345603</v>
      </c>
      <c r="DG56" s="1">
        <f t="shared" si="15"/>
        <v>118000.06394557824</v>
      </c>
      <c r="DH56" s="1">
        <f t="shared" si="15"/>
        <v>226167.33668005356</v>
      </c>
      <c r="DI56" s="1">
        <f t="shared" si="15"/>
        <v>98852.442870201092</v>
      </c>
      <c r="DJ56" s="1">
        <f t="shared" si="15"/>
        <v>102129.12286324786</v>
      </c>
      <c r="DK56" s="1">
        <f t="shared" si="15"/>
        <v>104582.88854489164</v>
      </c>
      <c r="DL56" s="9">
        <f t="shared" si="15"/>
        <v>146992.88085676037</v>
      </c>
      <c r="DM56" s="1">
        <f t="shared" si="15"/>
        <v>0</v>
      </c>
      <c r="DN56" s="1">
        <f t="shared" si="15"/>
        <v>0</v>
      </c>
      <c r="DO56" s="1">
        <f t="shared" si="15"/>
        <v>0</v>
      </c>
      <c r="DP56" s="1">
        <f t="shared" si="15"/>
        <v>0</v>
      </c>
      <c r="DQ56" s="1">
        <f t="shared" si="15"/>
        <v>0</v>
      </c>
      <c r="DR56" s="1">
        <f t="shared" si="15"/>
        <v>0</v>
      </c>
      <c r="DS56" s="1">
        <f t="shared" si="15"/>
        <v>0</v>
      </c>
      <c r="DT56" s="1">
        <f t="shared" si="15"/>
        <v>0</v>
      </c>
      <c r="DU56" s="1">
        <f t="shared" si="15"/>
        <v>0</v>
      </c>
      <c r="DV56" s="1">
        <f t="shared" si="15"/>
        <v>0</v>
      </c>
      <c r="DW56" s="1">
        <f t="shared" si="15"/>
        <v>0</v>
      </c>
      <c r="DX56" s="1">
        <f t="shared" si="15"/>
        <v>0</v>
      </c>
      <c r="DY56" s="1">
        <f t="shared" si="15"/>
        <v>0</v>
      </c>
      <c r="DZ56" s="1">
        <f t="shared" si="15"/>
        <v>0</v>
      </c>
      <c r="EA56" s="1">
        <f t="shared" si="15"/>
        <v>0</v>
      </c>
      <c r="EB56" s="1">
        <f t="shared" si="15"/>
        <v>0</v>
      </c>
      <c r="EC56" s="1">
        <f t="shared" si="15"/>
        <v>0</v>
      </c>
      <c r="ED56" s="1">
        <f t="shared" si="15"/>
        <v>0</v>
      </c>
      <c r="EE56" s="9">
        <f t="shared" si="15"/>
        <v>0</v>
      </c>
      <c r="EF56" s="1">
        <f t="shared" si="15"/>
        <v>0</v>
      </c>
      <c r="EG56" s="1">
        <f t="shared" si="15"/>
        <v>0</v>
      </c>
      <c r="EH56" s="1">
        <f t="shared" si="15"/>
        <v>0</v>
      </c>
      <c r="EI56" s="1">
        <f t="shared" si="15"/>
        <v>0</v>
      </c>
      <c r="EJ56" s="1">
        <f t="shared" si="15"/>
        <v>0</v>
      </c>
      <c r="EK56" s="1">
        <f t="shared" si="15"/>
        <v>0</v>
      </c>
      <c r="EL56" s="1">
        <f t="shared" si="15"/>
        <v>0</v>
      </c>
      <c r="EM56" s="1">
        <f t="shared" si="15"/>
        <v>0</v>
      </c>
      <c r="EN56" s="1">
        <f t="shared" si="15"/>
        <v>0</v>
      </c>
      <c r="EO56" s="1">
        <f t="shared" si="15"/>
        <v>0</v>
      </c>
      <c r="EP56" s="1">
        <f t="shared" si="15"/>
        <v>0</v>
      </c>
      <c r="EQ56" s="1">
        <f t="shared" si="15"/>
        <v>0</v>
      </c>
      <c r="ER56" s="1">
        <f t="shared" si="15"/>
        <v>0</v>
      </c>
      <c r="ES56" s="1">
        <f t="shared" si="15"/>
        <v>0</v>
      </c>
      <c r="ET56" s="1">
        <f t="shared" si="15"/>
        <v>0</v>
      </c>
      <c r="EU56" s="1">
        <f t="shared" si="15"/>
        <v>0</v>
      </c>
      <c r="EV56" s="1">
        <f t="shared" si="15"/>
        <v>0</v>
      </c>
      <c r="EW56" s="1">
        <f t="shared" si="15"/>
        <v>0</v>
      </c>
      <c r="EX56" s="9">
        <f t="shared" si="15"/>
        <v>0</v>
      </c>
      <c r="EY56" s="1">
        <f t="shared" si="15"/>
        <v>0</v>
      </c>
      <c r="EZ56" s="1">
        <f t="shared" si="15"/>
        <v>0</v>
      </c>
      <c r="FA56" s="1">
        <f t="shared" si="15"/>
        <v>0</v>
      </c>
      <c r="FB56" s="1">
        <f t="shared" si="15"/>
        <v>0</v>
      </c>
      <c r="FC56" s="1">
        <f t="shared" si="15"/>
        <v>0</v>
      </c>
      <c r="FD56" s="1">
        <f t="shared" si="15"/>
        <v>0</v>
      </c>
      <c r="FE56" s="1">
        <f t="shared" si="15"/>
        <v>0</v>
      </c>
      <c r="FF56" s="1">
        <f t="shared" si="16"/>
        <v>0</v>
      </c>
      <c r="FG56" s="1">
        <f t="shared" si="16"/>
        <v>0</v>
      </c>
      <c r="FH56" s="1">
        <f t="shared" si="16"/>
        <v>0</v>
      </c>
      <c r="FI56" s="1">
        <f t="shared" si="16"/>
        <v>0</v>
      </c>
      <c r="FJ56" s="1">
        <f t="shared" si="16"/>
        <v>0</v>
      </c>
      <c r="FK56" s="1">
        <f t="shared" si="16"/>
        <v>0</v>
      </c>
      <c r="FL56" s="1">
        <f t="shared" si="16"/>
        <v>0</v>
      </c>
      <c r="FM56" s="1">
        <f t="shared" si="16"/>
        <v>0</v>
      </c>
      <c r="FN56" s="1">
        <f t="shared" si="16"/>
        <v>0</v>
      </c>
      <c r="FO56" s="1">
        <f t="shared" si="16"/>
        <v>0</v>
      </c>
      <c r="FP56" s="1">
        <f t="shared" si="16"/>
        <v>0</v>
      </c>
      <c r="FQ56" s="9">
        <f t="shared" si="16"/>
        <v>0</v>
      </c>
      <c r="FR56" s="1">
        <f t="shared" si="16"/>
        <v>0</v>
      </c>
      <c r="FS56" s="1">
        <f t="shared" si="16"/>
        <v>0</v>
      </c>
      <c r="FT56" s="1">
        <f t="shared" si="16"/>
        <v>0</v>
      </c>
      <c r="FU56" s="1">
        <f t="shared" si="16"/>
        <v>0</v>
      </c>
      <c r="FV56" s="1">
        <f t="shared" si="16"/>
        <v>0</v>
      </c>
      <c r="FW56" s="1">
        <f t="shared" si="16"/>
        <v>0</v>
      </c>
      <c r="FX56" s="1">
        <f t="shared" si="16"/>
        <v>0</v>
      </c>
      <c r="FY56" s="1">
        <f t="shared" si="16"/>
        <v>0</v>
      </c>
      <c r="FZ56" s="1">
        <f t="shared" si="16"/>
        <v>0</v>
      </c>
      <c r="GA56" s="1">
        <f t="shared" si="16"/>
        <v>0</v>
      </c>
      <c r="GB56" s="1">
        <f t="shared" si="16"/>
        <v>0</v>
      </c>
      <c r="GC56" s="1">
        <f t="shared" si="16"/>
        <v>0</v>
      </c>
      <c r="GD56" s="1">
        <f t="shared" si="16"/>
        <v>0</v>
      </c>
      <c r="GE56" s="1">
        <f t="shared" si="16"/>
        <v>0</v>
      </c>
      <c r="GF56" s="1">
        <f t="shared" si="16"/>
        <v>0</v>
      </c>
      <c r="GG56" s="1">
        <f t="shared" si="16"/>
        <v>0</v>
      </c>
      <c r="GH56" s="1">
        <f t="shared" si="16"/>
        <v>0</v>
      </c>
      <c r="GI56" s="1">
        <f t="shared" si="16"/>
        <v>0</v>
      </c>
      <c r="GJ56" s="9">
        <f t="shared" si="16"/>
        <v>0</v>
      </c>
      <c r="GK56" s="1">
        <f t="shared" si="16"/>
        <v>0</v>
      </c>
      <c r="GL56" s="1">
        <f t="shared" si="16"/>
        <v>0</v>
      </c>
      <c r="GM56" s="1">
        <f t="shared" si="16"/>
        <v>0</v>
      </c>
      <c r="GN56" s="1">
        <f t="shared" si="16"/>
        <v>0</v>
      </c>
      <c r="GO56" s="1">
        <f t="shared" si="16"/>
        <v>0</v>
      </c>
      <c r="GP56" s="1">
        <f t="shared" si="16"/>
        <v>0</v>
      </c>
      <c r="GQ56" s="1">
        <f t="shared" si="16"/>
        <v>0</v>
      </c>
      <c r="GR56" s="1">
        <f t="shared" si="16"/>
        <v>0</v>
      </c>
      <c r="GS56" s="1">
        <f t="shared" si="16"/>
        <v>0</v>
      </c>
      <c r="GT56" s="1">
        <f t="shared" si="16"/>
        <v>0</v>
      </c>
      <c r="GU56" s="1">
        <f t="shared" si="16"/>
        <v>0</v>
      </c>
      <c r="GV56" s="1">
        <f t="shared" si="16"/>
        <v>0</v>
      </c>
      <c r="GW56" s="1">
        <f t="shared" si="16"/>
        <v>0</v>
      </c>
      <c r="GX56" s="1">
        <f t="shared" si="16"/>
        <v>0</v>
      </c>
      <c r="GY56" s="1">
        <f t="shared" si="16"/>
        <v>0</v>
      </c>
      <c r="GZ56" s="1">
        <f t="shared" si="16"/>
        <v>0</v>
      </c>
      <c r="HA56" s="1">
        <f t="shared" si="16"/>
        <v>0</v>
      </c>
      <c r="HB56" s="1">
        <f t="shared" si="16"/>
        <v>0</v>
      </c>
      <c r="HC56" s="9">
        <f t="shared" si="16"/>
        <v>0</v>
      </c>
      <c r="HD56" s="1">
        <f t="shared" si="16"/>
        <v>0</v>
      </c>
      <c r="HE56" s="1">
        <f t="shared" si="16"/>
        <v>0</v>
      </c>
      <c r="HF56" s="1">
        <f t="shared" si="16"/>
        <v>0</v>
      </c>
      <c r="HG56" s="1">
        <f t="shared" si="16"/>
        <v>0</v>
      </c>
      <c r="HH56" s="1">
        <f t="shared" si="16"/>
        <v>0</v>
      </c>
      <c r="HI56" s="1">
        <f t="shared" si="16"/>
        <v>0</v>
      </c>
      <c r="HJ56" s="1">
        <f t="shared" si="16"/>
        <v>0</v>
      </c>
      <c r="HK56" s="1">
        <f t="shared" si="16"/>
        <v>0</v>
      </c>
      <c r="HL56" s="1">
        <f t="shared" si="16"/>
        <v>0</v>
      </c>
      <c r="HM56" s="1">
        <f t="shared" si="16"/>
        <v>0</v>
      </c>
      <c r="HN56" s="1">
        <f t="shared" si="16"/>
        <v>0</v>
      </c>
      <c r="HO56" s="1">
        <f t="shared" si="16"/>
        <v>0</v>
      </c>
      <c r="HP56" s="1">
        <f t="shared" si="16"/>
        <v>0</v>
      </c>
      <c r="HQ56" s="1">
        <f t="shared" si="16"/>
        <v>0</v>
      </c>
      <c r="HR56" s="1">
        <f t="shared" si="17"/>
        <v>0</v>
      </c>
      <c r="HS56" s="1">
        <f t="shared" si="17"/>
        <v>0</v>
      </c>
      <c r="HT56" s="1">
        <f t="shared" si="17"/>
        <v>0</v>
      </c>
      <c r="HU56" s="1">
        <f t="shared" si="17"/>
        <v>0</v>
      </c>
      <c r="HV56" s="9">
        <f t="shared" si="17"/>
        <v>0</v>
      </c>
      <c r="HW56" s="1"/>
      <c r="HX56" s="1">
        <v>278111.81578947371</v>
      </c>
      <c r="HY56" s="1">
        <v>189200.72581967214</v>
      </c>
      <c r="HZ56" s="1">
        <v>192798.54150338439</v>
      </c>
      <c r="IA56" s="1">
        <v>182961.7022190408</v>
      </c>
      <c r="IB56" s="1">
        <v>114046.55441928415</v>
      </c>
      <c r="IC56" s="1">
        <v>108439.73245614035</v>
      </c>
      <c r="ID56" s="1">
        <v>120535.20389380532</v>
      </c>
      <c r="IE56" s="1">
        <v>128975.84911822338</v>
      </c>
      <c r="IF56" s="1">
        <v>150761.0114232788</v>
      </c>
      <c r="IG56" s="1">
        <v>148571.40667808219</v>
      </c>
      <c r="IH56" s="1">
        <v>151089.38212578153</v>
      </c>
      <c r="II56" s="1">
        <v>168294.28181003584</v>
      </c>
      <c r="IJ56" s="1">
        <v>124881.46012702893</v>
      </c>
      <c r="IK56" s="1">
        <v>276032.47372262774</v>
      </c>
      <c r="IL56" s="1">
        <v>97350.725010036127</v>
      </c>
      <c r="IM56" s="1">
        <v>102838.19648737651</v>
      </c>
      <c r="IN56" s="1">
        <v>100869.65838885524</v>
      </c>
      <c r="IO56" s="1">
        <v>152280.33144684415</v>
      </c>
      <c r="IP56" s="1"/>
      <c r="IQ56" s="1">
        <v>280318.90708478511</v>
      </c>
      <c r="IR56" s="1">
        <v>197497.96288485872</v>
      </c>
      <c r="IS56" s="1">
        <v>210701.65463731505</v>
      </c>
      <c r="IT56" s="1">
        <v>183677.49248120299</v>
      </c>
      <c r="IU56" s="1">
        <v>113794.79137412236</v>
      </c>
      <c r="IV56" s="1">
        <v>114692.38554216867</v>
      </c>
      <c r="IW56" s="1">
        <v>122700.03477306003</v>
      </c>
      <c r="IX56" s="1">
        <v>132676.78687978687</v>
      </c>
      <c r="IY56" s="1">
        <v>129415.11606414786</v>
      </c>
      <c r="IZ56" s="1">
        <v>149355.95238095237</v>
      </c>
      <c r="JA56" s="1">
        <v>183100.68605888612</v>
      </c>
      <c r="JB56" s="1">
        <v>162262.91610455312</v>
      </c>
      <c r="JC56" s="1">
        <v>123162.79706088174</v>
      </c>
      <c r="JD56" s="1">
        <v>250388.23623693379</v>
      </c>
      <c r="JE56" s="1">
        <v>96348.317387304502</v>
      </c>
      <c r="JF56" s="1">
        <v>101902.92407809111</v>
      </c>
      <c r="JG56" s="1">
        <v>94647.343475321162</v>
      </c>
      <c r="JH56" s="1">
        <v>154795.47786797365</v>
      </c>
    </row>
    <row r="57" spans="1:268" x14ac:dyDescent="0.4">
      <c r="B57" t="s">
        <v>89</v>
      </c>
      <c r="C57" s="1"/>
      <c r="D57" s="1">
        <v>458790.42626728112</v>
      </c>
      <c r="E57" s="1">
        <v>254415.01473477407</v>
      </c>
      <c r="F57" s="1">
        <v>248536.42649199418</v>
      </c>
      <c r="G57" s="1">
        <v>255240.17266851338</v>
      </c>
      <c r="H57" s="1">
        <v>221766.73859649122</v>
      </c>
      <c r="I57" s="1">
        <v>200402.64102564103</v>
      </c>
      <c r="J57" s="1">
        <v>238063.24031563845</v>
      </c>
      <c r="K57" s="1">
        <v>255429.21226641111</v>
      </c>
      <c r="L57" s="1">
        <v>257697.94578313254</v>
      </c>
      <c r="M57" s="1">
        <v>307981.23604465713</v>
      </c>
      <c r="N57" s="1">
        <v>232029.27669902911</v>
      </c>
      <c r="O57" s="1">
        <v>225962.34318398475</v>
      </c>
      <c r="P57" s="1">
        <v>206898.66970091028</v>
      </c>
      <c r="Q57" s="1">
        <v>277159.64602272725</v>
      </c>
      <c r="R57" s="1">
        <v>194042.50677506774</v>
      </c>
      <c r="S57" s="1">
        <v>178138.77704485488</v>
      </c>
      <c r="T57" s="1">
        <v>245721.7536764706</v>
      </c>
      <c r="U57" s="9">
        <v>252657.99971686094</v>
      </c>
      <c r="V57" s="1"/>
      <c r="W57" s="1">
        <f>+D18</f>
        <v>459228.21428571426</v>
      </c>
      <c r="X57" s="1">
        <f t="shared" si="18"/>
        <v>254852.14636542241</v>
      </c>
      <c r="Y57" s="1">
        <f t="shared" si="18"/>
        <v>248944.42168237854</v>
      </c>
      <c r="Z57" s="1">
        <f t="shared" si="18"/>
        <v>255273.68259072118</v>
      </c>
      <c r="AA57" s="1">
        <f t="shared" si="18"/>
        <v>229673.53200332503</v>
      </c>
      <c r="AB57" s="1">
        <f t="shared" si="18"/>
        <v>199996.74688796682</v>
      </c>
      <c r="AC57" s="1">
        <f t="shared" si="18"/>
        <v>239022.02319044273</v>
      </c>
      <c r="AD57" s="1">
        <f t="shared" si="18"/>
        <v>257132.15919701214</v>
      </c>
      <c r="AE57" s="1">
        <f t="shared" si="18"/>
        <v>259291.55172413794</v>
      </c>
      <c r="AF57" s="1">
        <f t="shared" si="18"/>
        <v>308650.49789251841</v>
      </c>
      <c r="AG57" s="1">
        <f t="shared" si="18"/>
        <v>237852.8299904489</v>
      </c>
      <c r="AH57" s="1">
        <f t="shared" si="18"/>
        <v>226019.54051477599</v>
      </c>
      <c r="AI57" s="1">
        <f t="shared" si="18"/>
        <v>209593.64774193548</v>
      </c>
      <c r="AJ57" s="1">
        <f t="shared" si="18"/>
        <v>286643.22630457935</v>
      </c>
      <c r="AK57" s="1">
        <f t="shared" si="18"/>
        <v>193355.85635359117</v>
      </c>
      <c r="AL57" s="1">
        <f t="shared" si="18"/>
        <v>177982.85862516213</v>
      </c>
      <c r="AM57" s="1">
        <f t="shared" si="18"/>
        <v>249375.06159420291</v>
      </c>
      <c r="AN57" s="9">
        <f t="shared" si="18"/>
        <v>254775.0593912398</v>
      </c>
      <c r="AO57" s="1"/>
      <c r="AP57" s="1">
        <f t="shared" si="19"/>
        <v>460357.24654377881</v>
      </c>
      <c r="AQ57" s="1">
        <f t="shared" si="19"/>
        <v>258825.29803921568</v>
      </c>
      <c r="AR57" s="1">
        <f t="shared" si="19"/>
        <v>253220.64028776978</v>
      </c>
      <c r="AS57" s="1">
        <f t="shared" si="19"/>
        <v>258251.67203311867</v>
      </c>
      <c r="AT57" s="1">
        <f t="shared" si="19"/>
        <v>231264.48046550291</v>
      </c>
      <c r="AU57" s="1">
        <f t="shared" si="19"/>
        <v>202948.74576271186</v>
      </c>
      <c r="AV57" s="1">
        <f t="shared" si="19"/>
        <v>242154.20448179272</v>
      </c>
      <c r="AW57" s="1">
        <f t="shared" si="19"/>
        <v>260686.06279069767</v>
      </c>
      <c r="AX57" s="1">
        <f t="shared" si="19"/>
        <v>261312.11506524318</v>
      </c>
      <c r="AY57" s="1">
        <f t="shared" si="19"/>
        <v>302981.62197686645</v>
      </c>
      <c r="AZ57" s="1">
        <f t="shared" si="19"/>
        <v>244386.84380952382</v>
      </c>
      <c r="BA57" s="1">
        <f t="shared" si="19"/>
        <v>229624.95009596928</v>
      </c>
      <c r="BB57" s="1">
        <f t="shared" si="19"/>
        <v>208528.11936662605</v>
      </c>
      <c r="BC57" s="1">
        <f t="shared" si="19"/>
        <v>292412.76160990715</v>
      </c>
      <c r="BD57" s="1">
        <f t="shared" si="19"/>
        <v>195773.23351648351</v>
      </c>
      <c r="BE57" s="1">
        <f t="shared" si="19"/>
        <v>180200.61647361648</v>
      </c>
      <c r="BF57" s="1">
        <f t="shared" si="20"/>
        <v>251789.00719424459</v>
      </c>
      <c r="BG57" s="9">
        <f t="shared" si="20"/>
        <v>257423.95487647492</v>
      </c>
      <c r="BH57" s="1"/>
      <c r="BI57" s="1">
        <f t="shared" si="21"/>
        <v>461510.58447488584</v>
      </c>
      <c r="BJ57" s="1">
        <f t="shared" si="21"/>
        <v>263332.87869966036</v>
      </c>
      <c r="BK57" s="1">
        <f t="shared" si="21"/>
        <v>254563.65295169948</v>
      </c>
      <c r="BL57" s="1">
        <f t="shared" si="21"/>
        <v>260102.10257568912</v>
      </c>
      <c r="BM57" s="1">
        <f t="shared" si="21"/>
        <v>231591.79867986799</v>
      </c>
      <c r="BN57" s="1">
        <f t="shared" si="21"/>
        <v>204641.08016032065</v>
      </c>
      <c r="BO57" s="1">
        <f t="shared" si="21"/>
        <v>241428.43232323232</v>
      </c>
      <c r="BP57" s="1">
        <f t="shared" si="21"/>
        <v>264049.67873510538</v>
      </c>
      <c r="BQ57" s="1">
        <f t="shared" si="21"/>
        <v>263053.19098457886</v>
      </c>
      <c r="BR57" s="1">
        <f t="shared" si="21"/>
        <v>304045.7409353652</v>
      </c>
      <c r="BS57" s="1">
        <f t="shared" si="21"/>
        <v>246248.44866920152</v>
      </c>
      <c r="BT57" s="1">
        <f t="shared" si="21"/>
        <v>229797.11068334937</v>
      </c>
      <c r="BU57" s="1">
        <f t="shared" si="21"/>
        <v>209606.5275</v>
      </c>
      <c r="BV57" s="1">
        <f t="shared" si="21"/>
        <v>292452.18804292282</v>
      </c>
      <c r="BW57" s="1">
        <f t="shared" si="21"/>
        <v>196914.06557377049</v>
      </c>
      <c r="BX57" s="1">
        <f t="shared" si="21"/>
        <v>180056.62846347608</v>
      </c>
      <c r="BY57" s="1">
        <f t="shared" si="22"/>
        <v>251980.30935251797</v>
      </c>
      <c r="BZ57" s="9">
        <f t="shared" si="22"/>
        <v>258827.8726103025</v>
      </c>
      <c r="CA57" s="1"/>
      <c r="CB57" s="1">
        <f t="shared" si="23"/>
        <v>453206.89298892987</v>
      </c>
      <c r="CC57" s="1">
        <f t="shared" si="23"/>
        <v>264155.72970345162</v>
      </c>
      <c r="CD57" s="1">
        <f t="shared" si="23"/>
        <v>254885.35412186381</v>
      </c>
      <c r="CE57" s="1">
        <f t="shared" si="23"/>
        <v>260227.02713704205</v>
      </c>
      <c r="CF57" s="1">
        <f t="shared" si="23"/>
        <v>231559.88477366255</v>
      </c>
      <c r="CG57" s="1">
        <f t="shared" si="23"/>
        <v>204976.70800000001</v>
      </c>
      <c r="CH57" s="1">
        <f t="shared" si="23"/>
        <v>242440.40447154472</v>
      </c>
      <c r="CI57" s="1">
        <f t="shared" si="23"/>
        <v>265777.43122171948</v>
      </c>
      <c r="CJ57" s="1">
        <f t="shared" si="23"/>
        <v>260637.78040141676</v>
      </c>
      <c r="CK57" s="1">
        <f t="shared" si="23"/>
        <v>307244.7686645636</v>
      </c>
      <c r="CL57" s="1">
        <f t="shared" si="23"/>
        <v>260725.78301015697</v>
      </c>
      <c r="CM57" s="1">
        <f t="shared" si="23"/>
        <v>231268.31870229007</v>
      </c>
      <c r="CN57" s="1">
        <f t="shared" si="23"/>
        <v>209086.16196319018</v>
      </c>
      <c r="CO57" s="1">
        <f t="shared" si="23"/>
        <v>289638.04688332445</v>
      </c>
      <c r="CP57" s="1">
        <f t="shared" si="23"/>
        <v>196910.82384823848</v>
      </c>
      <c r="CQ57" s="1">
        <f t="shared" si="23"/>
        <v>180240.75682382134</v>
      </c>
      <c r="CR57" s="1">
        <f t="shared" si="24"/>
        <v>252155.25899280576</v>
      </c>
      <c r="CS57" s="9">
        <f t="shared" si="24"/>
        <v>260442.4976845546</v>
      </c>
      <c r="CT57" s="1">
        <f t="shared" si="15"/>
        <v>0</v>
      </c>
      <c r="CU57" s="1">
        <f t="shared" si="15"/>
        <v>464112.16935483873</v>
      </c>
      <c r="CV57" s="1">
        <f t="shared" si="15"/>
        <v>265192.99224806204</v>
      </c>
      <c r="CW57" s="1">
        <f t="shared" si="15"/>
        <v>255260.80602366439</v>
      </c>
      <c r="CX57" s="1">
        <f t="shared" si="15"/>
        <v>260294.73688969258</v>
      </c>
      <c r="CY57" s="1">
        <f t="shared" si="15"/>
        <v>233076.19281045752</v>
      </c>
      <c r="CZ57" s="1">
        <f t="shared" si="15"/>
        <v>205306.39243027888</v>
      </c>
      <c r="DA57" s="1">
        <f t="shared" si="15"/>
        <v>242441.39148073024</v>
      </c>
      <c r="DB57" s="1">
        <f t="shared" si="15"/>
        <v>267963.7752808989</v>
      </c>
      <c r="DC57" s="1">
        <f t="shared" si="15"/>
        <v>261075.3836104513</v>
      </c>
      <c r="DD57" s="1">
        <f t="shared" si="15"/>
        <v>306192.46246719162</v>
      </c>
      <c r="DE57" s="1">
        <f t="shared" si="15"/>
        <v>261283.09250693803</v>
      </c>
      <c r="DF57" s="1">
        <f t="shared" si="15"/>
        <v>232703.99809523809</v>
      </c>
      <c r="DG57" s="1">
        <f t="shared" si="15"/>
        <v>209113.90731707317</v>
      </c>
      <c r="DH57" s="1">
        <f t="shared" si="15"/>
        <v>289759.38912579959</v>
      </c>
      <c r="DI57" s="1">
        <f t="shared" si="15"/>
        <v>197053.08378378378</v>
      </c>
      <c r="DJ57" s="1">
        <f t="shared" si="15"/>
        <v>180675.2837670384</v>
      </c>
      <c r="DK57" s="1">
        <f t="shared" si="15"/>
        <v>253258.64516129033</v>
      </c>
      <c r="DL57" s="9">
        <f t="shared" si="15"/>
        <v>260784.51092139323</v>
      </c>
      <c r="DM57" s="1">
        <f t="shared" si="15"/>
        <v>0</v>
      </c>
      <c r="DN57" s="1">
        <f t="shared" si="15"/>
        <v>0</v>
      </c>
      <c r="DO57" s="1">
        <f t="shared" si="15"/>
        <v>0</v>
      </c>
      <c r="DP57" s="1">
        <f t="shared" si="15"/>
        <v>0</v>
      </c>
      <c r="DQ57" s="1">
        <f t="shared" si="15"/>
        <v>0</v>
      </c>
      <c r="DR57" s="1">
        <f t="shared" si="15"/>
        <v>0</v>
      </c>
      <c r="DS57" s="1">
        <f t="shared" si="15"/>
        <v>0</v>
      </c>
      <c r="DT57" s="1">
        <f t="shared" si="15"/>
        <v>0</v>
      </c>
      <c r="DU57" s="1">
        <f t="shared" si="15"/>
        <v>0</v>
      </c>
      <c r="DV57" s="1">
        <f t="shared" si="15"/>
        <v>0</v>
      </c>
      <c r="DW57" s="1">
        <f t="shared" si="15"/>
        <v>0</v>
      </c>
      <c r="DX57" s="1">
        <f t="shared" si="15"/>
        <v>0</v>
      </c>
      <c r="DY57" s="1">
        <f t="shared" si="15"/>
        <v>0</v>
      </c>
      <c r="DZ57" s="1">
        <f t="shared" si="15"/>
        <v>0</v>
      </c>
      <c r="EA57" s="1">
        <f t="shared" si="15"/>
        <v>0</v>
      </c>
      <c r="EB57" s="1">
        <f t="shared" si="15"/>
        <v>0</v>
      </c>
      <c r="EC57" s="1">
        <f t="shared" si="15"/>
        <v>0</v>
      </c>
      <c r="ED57" s="1">
        <f t="shared" si="15"/>
        <v>0</v>
      </c>
      <c r="EE57" s="9">
        <f t="shared" si="15"/>
        <v>0</v>
      </c>
      <c r="EF57" s="1">
        <f t="shared" si="15"/>
        <v>0</v>
      </c>
      <c r="EG57" s="1">
        <f t="shared" si="15"/>
        <v>0</v>
      </c>
      <c r="EH57" s="1">
        <f t="shared" si="15"/>
        <v>0</v>
      </c>
      <c r="EI57" s="1">
        <f t="shared" si="15"/>
        <v>0</v>
      </c>
      <c r="EJ57" s="1">
        <f t="shared" si="15"/>
        <v>0</v>
      </c>
      <c r="EK57" s="1">
        <f t="shared" si="15"/>
        <v>0</v>
      </c>
      <c r="EL57" s="1">
        <f t="shared" si="15"/>
        <v>0</v>
      </c>
      <c r="EM57" s="1">
        <f t="shared" si="15"/>
        <v>0</v>
      </c>
      <c r="EN57" s="1">
        <f t="shared" si="15"/>
        <v>0</v>
      </c>
      <c r="EO57" s="1">
        <f t="shared" si="15"/>
        <v>0</v>
      </c>
      <c r="EP57" s="1">
        <f t="shared" si="15"/>
        <v>0</v>
      </c>
      <c r="EQ57" s="1">
        <f t="shared" si="15"/>
        <v>0</v>
      </c>
      <c r="ER57" s="1">
        <f t="shared" si="15"/>
        <v>0</v>
      </c>
      <c r="ES57" s="1">
        <f t="shared" si="15"/>
        <v>0</v>
      </c>
      <c r="ET57" s="1">
        <f t="shared" si="15"/>
        <v>0</v>
      </c>
      <c r="EU57" s="1">
        <f t="shared" si="15"/>
        <v>0</v>
      </c>
      <c r="EV57" s="1">
        <f t="shared" si="15"/>
        <v>0</v>
      </c>
      <c r="EW57" s="1">
        <f t="shared" si="15"/>
        <v>0</v>
      </c>
      <c r="EX57" s="9">
        <f t="shared" si="15"/>
        <v>0</v>
      </c>
      <c r="EY57" s="1">
        <f t="shared" si="15"/>
        <v>0</v>
      </c>
      <c r="EZ57" s="1">
        <f t="shared" si="15"/>
        <v>0</v>
      </c>
      <c r="FA57" s="1">
        <f t="shared" si="15"/>
        <v>0</v>
      </c>
      <c r="FB57" s="1">
        <f t="shared" si="15"/>
        <v>0</v>
      </c>
      <c r="FC57" s="1">
        <f t="shared" si="15"/>
        <v>0</v>
      </c>
      <c r="FD57" s="1">
        <f t="shared" si="15"/>
        <v>0</v>
      </c>
      <c r="FE57" s="1">
        <f t="shared" si="15"/>
        <v>0</v>
      </c>
      <c r="FF57" s="1">
        <f t="shared" si="16"/>
        <v>0</v>
      </c>
      <c r="FG57" s="1">
        <f t="shared" si="16"/>
        <v>0</v>
      </c>
      <c r="FH57" s="1">
        <f t="shared" si="16"/>
        <v>0</v>
      </c>
      <c r="FI57" s="1">
        <f t="shared" si="16"/>
        <v>0</v>
      </c>
      <c r="FJ57" s="1">
        <f t="shared" si="16"/>
        <v>0</v>
      </c>
      <c r="FK57" s="1">
        <f t="shared" si="16"/>
        <v>0</v>
      </c>
      <c r="FL57" s="1">
        <f t="shared" si="16"/>
        <v>0</v>
      </c>
      <c r="FM57" s="1">
        <f t="shared" si="16"/>
        <v>0</v>
      </c>
      <c r="FN57" s="1">
        <f t="shared" si="16"/>
        <v>0</v>
      </c>
      <c r="FO57" s="1">
        <f t="shared" si="16"/>
        <v>0</v>
      </c>
      <c r="FP57" s="1">
        <f t="shared" si="16"/>
        <v>0</v>
      </c>
      <c r="FQ57" s="9">
        <f t="shared" si="16"/>
        <v>0</v>
      </c>
      <c r="FR57" s="1">
        <f t="shared" si="16"/>
        <v>0</v>
      </c>
      <c r="FS57" s="1">
        <f t="shared" si="16"/>
        <v>0</v>
      </c>
      <c r="FT57" s="1">
        <f t="shared" si="16"/>
        <v>0</v>
      </c>
      <c r="FU57" s="1">
        <f t="shared" si="16"/>
        <v>0</v>
      </c>
      <c r="FV57" s="1">
        <f t="shared" si="16"/>
        <v>0</v>
      </c>
      <c r="FW57" s="1">
        <f t="shared" si="16"/>
        <v>0</v>
      </c>
      <c r="FX57" s="1">
        <f t="shared" si="16"/>
        <v>0</v>
      </c>
      <c r="FY57" s="1">
        <f t="shared" si="16"/>
        <v>0</v>
      </c>
      <c r="FZ57" s="1">
        <f t="shared" si="16"/>
        <v>0</v>
      </c>
      <c r="GA57" s="1">
        <f t="shared" si="16"/>
        <v>0</v>
      </c>
      <c r="GB57" s="1">
        <f t="shared" si="16"/>
        <v>0</v>
      </c>
      <c r="GC57" s="1">
        <f t="shared" si="16"/>
        <v>0</v>
      </c>
      <c r="GD57" s="1">
        <f t="shared" si="16"/>
        <v>0</v>
      </c>
      <c r="GE57" s="1">
        <f t="shared" si="16"/>
        <v>0</v>
      </c>
      <c r="GF57" s="1">
        <f t="shared" si="16"/>
        <v>0</v>
      </c>
      <c r="GG57" s="1">
        <f t="shared" si="16"/>
        <v>0</v>
      </c>
      <c r="GH57" s="1">
        <f t="shared" si="16"/>
        <v>0</v>
      </c>
      <c r="GI57" s="1">
        <f t="shared" si="16"/>
        <v>0</v>
      </c>
      <c r="GJ57" s="9">
        <f t="shared" si="16"/>
        <v>0</v>
      </c>
      <c r="GK57" s="1">
        <f t="shared" si="16"/>
        <v>0</v>
      </c>
      <c r="GL57" s="1">
        <f t="shared" si="16"/>
        <v>0</v>
      </c>
      <c r="GM57" s="1">
        <f t="shared" si="16"/>
        <v>0</v>
      </c>
      <c r="GN57" s="1">
        <f t="shared" si="16"/>
        <v>0</v>
      </c>
      <c r="GO57" s="1">
        <f t="shared" si="16"/>
        <v>0</v>
      </c>
      <c r="GP57" s="1">
        <f t="shared" si="16"/>
        <v>0</v>
      </c>
      <c r="GQ57" s="1">
        <f t="shared" si="16"/>
        <v>0</v>
      </c>
      <c r="GR57" s="1">
        <f t="shared" si="16"/>
        <v>0</v>
      </c>
      <c r="GS57" s="1">
        <f t="shared" si="16"/>
        <v>0</v>
      </c>
      <c r="GT57" s="1">
        <f t="shared" si="16"/>
        <v>0</v>
      </c>
      <c r="GU57" s="1">
        <f t="shared" si="16"/>
        <v>0</v>
      </c>
      <c r="GV57" s="1">
        <f t="shared" si="16"/>
        <v>0</v>
      </c>
      <c r="GW57" s="1">
        <f t="shared" si="16"/>
        <v>0</v>
      </c>
      <c r="GX57" s="1">
        <f t="shared" si="16"/>
        <v>0</v>
      </c>
      <c r="GY57" s="1">
        <f t="shared" si="16"/>
        <v>0</v>
      </c>
      <c r="GZ57" s="1">
        <f t="shared" si="16"/>
        <v>0</v>
      </c>
      <c r="HA57" s="1">
        <f t="shared" si="16"/>
        <v>0</v>
      </c>
      <c r="HB57" s="1">
        <f t="shared" si="16"/>
        <v>0</v>
      </c>
      <c r="HC57" s="9">
        <f t="shared" si="16"/>
        <v>0</v>
      </c>
      <c r="HD57" s="1">
        <f t="shared" si="16"/>
        <v>0</v>
      </c>
      <c r="HE57" s="1">
        <f t="shared" si="16"/>
        <v>0</v>
      </c>
      <c r="HF57" s="1">
        <f t="shared" si="16"/>
        <v>0</v>
      </c>
      <c r="HG57" s="1">
        <f t="shared" si="16"/>
        <v>0</v>
      </c>
      <c r="HH57" s="1">
        <f t="shared" si="16"/>
        <v>0</v>
      </c>
      <c r="HI57" s="1">
        <f t="shared" si="16"/>
        <v>0</v>
      </c>
      <c r="HJ57" s="1">
        <f t="shared" si="16"/>
        <v>0</v>
      </c>
      <c r="HK57" s="1">
        <f t="shared" si="16"/>
        <v>0</v>
      </c>
      <c r="HL57" s="1">
        <f t="shared" si="16"/>
        <v>0</v>
      </c>
      <c r="HM57" s="1">
        <f t="shared" si="16"/>
        <v>0</v>
      </c>
      <c r="HN57" s="1">
        <f t="shared" si="16"/>
        <v>0</v>
      </c>
      <c r="HO57" s="1">
        <f t="shared" si="16"/>
        <v>0</v>
      </c>
      <c r="HP57" s="1">
        <f t="shared" si="16"/>
        <v>0</v>
      </c>
      <c r="HQ57" s="1">
        <f t="shared" si="16"/>
        <v>0</v>
      </c>
      <c r="HR57" s="1">
        <f t="shared" si="17"/>
        <v>0</v>
      </c>
      <c r="HS57" s="1">
        <f t="shared" si="17"/>
        <v>0</v>
      </c>
      <c r="HT57" s="1">
        <f t="shared" si="17"/>
        <v>0</v>
      </c>
      <c r="HU57" s="1">
        <f t="shared" si="17"/>
        <v>0</v>
      </c>
      <c r="HV57" s="9">
        <f t="shared" si="17"/>
        <v>0</v>
      </c>
      <c r="HW57" s="1"/>
      <c r="HX57" s="1">
        <v>438999.88807785889</v>
      </c>
      <c r="HY57" s="1">
        <v>247638.12903225806</v>
      </c>
      <c r="HZ57" s="1">
        <v>253785.41260084519</v>
      </c>
      <c r="IA57" s="1">
        <v>257891.32115749526</v>
      </c>
      <c r="IB57" s="1">
        <v>215784.93083573488</v>
      </c>
      <c r="IC57" s="1">
        <v>203764.80216802168</v>
      </c>
      <c r="ID57" s="1">
        <v>237730.14213926776</v>
      </c>
      <c r="IE57" s="1">
        <v>244504.48859416446</v>
      </c>
      <c r="IF57" s="1">
        <v>386946.38200339559</v>
      </c>
      <c r="IG57" s="1">
        <v>314131.65552238806</v>
      </c>
      <c r="IH57" s="1">
        <v>222182.88601036271</v>
      </c>
      <c r="II57" s="1">
        <v>221706.88548057259</v>
      </c>
      <c r="IJ57" s="1">
        <v>203441.22869318182</v>
      </c>
      <c r="IK57" s="1">
        <v>262086.59016393442</v>
      </c>
      <c r="IL57" s="1">
        <v>200081.6865284974</v>
      </c>
      <c r="IM57" s="1">
        <v>174440.81351351351</v>
      </c>
      <c r="IN57" s="1">
        <v>233768.74233128835</v>
      </c>
      <c r="IO57" s="1">
        <v>253044.54739336492</v>
      </c>
      <c r="IP57" s="1"/>
      <c r="IQ57" s="1">
        <v>423409.78110599075</v>
      </c>
      <c r="IR57" s="1">
        <v>254958.68467583496</v>
      </c>
      <c r="IS57" s="1">
        <v>254967.41994177585</v>
      </c>
      <c r="IT57" s="1">
        <v>254649.47968605725</v>
      </c>
      <c r="IU57" s="1">
        <v>215266.10175438598</v>
      </c>
      <c r="IV57" s="1">
        <v>205628.36965811966</v>
      </c>
      <c r="IW57" s="1">
        <v>230565.30416068865</v>
      </c>
      <c r="IX57" s="1">
        <v>243775.85529468136</v>
      </c>
      <c r="IY57" s="1">
        <v>286020.83614457829</v>
      </c>
      <c r="IZ57" s="1">
        <v>327562.58054226474</v>
      </c>
      <c r="JA57" s="1">
        <v>236380.73300970873</v>
      </c>
      <c r="JB57" s="1">
        <v>246369.85700667303</v>
      </c>
      <c r="JC57" s="1">
        <v>207349.07802340703</v>
      </c>
      <c r="JD57" s="1">
        <v>277252.98920454545</v>
      </c>
      <c r="JE57" s="1">
        <v>204447.33604336044</v>
      </c>
      <c r="JF57" s="1">
        <v>176624.3284960422</v>
      </c>
      <c r="JG57" s="1">
        <v>235361.48897058822</v>
      </c>
      <c r="JH57" s="1">
        <v>254971.290878203</v>
      </c>
    </row>
    <row r="58" spans="1:268" x14ac:dyDescent="0.4">
      <c r="B58" t="s">
        <v>90</v>
      </c>
      <c r="C58" s="1"/>
      <c r="D58" s="1">
        <v>135352.9411764706</v>
      </c>
      <c r="E58" s="1">
        <v>33869.47193877551</v>
      </c>
      <c r="F58" s="1">
        <v>21048.096631082768</v>
      </c>
      <c r="G58" s="1">
        <v>21270.384321515892</v>
      </c>
      <c r="H58" s="1">
        <v>27037.715105162522</v>
      </c>
      <c r="I58" s="1">
        <v>24893.806682577564</v>
      </c>
      <c r="J58" s="1">
        <v>22429.353680430879</v>
      </c>
      <c r="K58" s="1">
        <v>25979.716527375065</v>
      </c>
      <c r="L58" s="1">
        <v>22171.310772163964</v>
      </c>
      <c r="M58" s="1">
        <v>23973.608394095678</v>
      </c>
      <c r="N58" s="1">
        <v>26163.794906166218</v>
      </c>
      <c r="O58" s="1">
        <v>28573.307621791515</v>
      </c>
      <c r="P58" s="1">
        <v>26792.560951918407</v>
      </c>
      <c r="Q58" s="1">
        <v>22872.237314882252</v>
      </c>
      <c r="R58" s="1">
        <v>19669.738349241998</v>
      </c>
      <c r="S58" s="1">
        <v>21700.143925233646</v>
      </c>
      <c r="T58" s="1">
        <v>20179.884487666033</v>
      </c>
      <c r="U58" s="9">
        <v>24186.267766730132</v>
      </c>
      <c r="V58" s="1"/>
      <c r="W58" s="1">
        <f>+D19</f>
        <v>135352.9411764706</v>
      </c>
      <c r="X58" s="1">
        <f t="shared" si="18"/>
        <v>34078.774129634869</v>
      </c>
      <c r="Y58" s="1">
        <f t="shared" si="18"/>
        <v>21069.471635610767</v>
      </c>
      <c r="Z58" s="1">
        <f t="shared" si="18"/>
        <v>21309.100548446069</v>
      </c>
      <c r="AA58" s="1">
        <f t="shared" si="18"/>
        <v>27055.003773584907</v>
      </c>
      <c r="AB58" s="1">
        <f t="shared" si="18"/>
        <v>24896.59291825095</v>
      </c>
      <c r="AC58" s="1">
        <f t="shared" si="18"/>
        <v>22371.115947764149</v>
      </c>
      <c r="AD58" s="1">
        <f t="shared" si="18"/>
        <v>26033.528046093881</v>
      </c>
      <c r="AE58" s="1">
        <f t="shared" si="18"/>
        <v>22161.222618199095</v>
      </c>
      <c r="AF58" s="1">
        <f t="shared" si="18"/>
        <v>23696.64922307555</v>
      </c>
      <c r="AG58" s="1">
        <f t="shared" si="18"/>
        <v>26079.627150039694</v>
      </c>
      <c r="AH58" s="1">
        <f t="shared" si="18"/>
        <v>28264.891591750398</v>
      </c>
      <c r="AI58" s="1">
        <f t="shared" si="18"/>
        <v>26984.627737226278</v>
      </c>
      <c r="AJ58" s="1">
        <f t="shared" si="18"/>
        <v>22758.269816524764</v>
      </c>
      <c r="AK58" s="1">
        <f t="shared" si="18"/>
        <v>19616.954496208018</v>
      </c>
      <c r="AL58" s="1">
        <f t="shared" si="18"/>
        <v>21851.983271375466</v>
      </c>
      <c r="AM58" s="1">
        <f t="shared" si="18"/>
        <v>20409.394096812277</v>
      </c>
      <c r="AN58" s="9">
        <f t="shared" si="18"/>
        <v>24137.221944506851</v>
      </c>
      <c r="AO58" s="1"/>
      <c r="AP58" s="1">
        <f t="shared" si="19"/>
        <v>135352.9411764706</v>
      </c>
      <c r="AQ58" s="1">
        <f t="shared" si="19"/>
        <v>33890.340624999997</v>
      </c>
      <c r="AR58" s="1">
        <f t="shared" si="19"/>
        <v>21631.594236547393</v>
      </c>
      <c r="AS58" s="1">
        <f t="shared" si="19"/>
        <v>22334.474807081253</v>
      </c>
      <c r="AT58" s="1">
        <f t="shared" si="19"/>
        <v>27459.343396226413</v>
      </c>
      <c r="AU58" s="1">
        <f t="shared" si="19"/>
        <v>26467.828584995252</v>
      </c>
      <c r="AV58" s="1">
        <f t="shared" si="19"/>
        <v>23242.340976477564</v>
      </c>
      <c r="AW58" s="1">
        <f t="shared" si="19"/>
        <v>27776.311708058794</v>
      </c>
      <c r="AX58" s="1">
        <f t="shared" si="19"/>
        <v>23266.11470379986</v>
      </c>
      <c r="AY58" s="1">
        <f t="shared" si="19"/>
        <v>26400.935472370766</v>
      </c>
      <c r="AZ58" s="1">
        <f t="shared" si="19"/>
        <v>27319.346784691486</v>
      </c>
      <c r="BA58" s="1">
        <f t="shared" si="19"/>
        <v>29938.762586115528</v>
      </c>
      <c r="BB58" s="1">
        <f t="shared" si="19"/>
        <v>29038.221574344025</v>
      </c>
      <c r="BC58" s="1">
        <f t="shared" si="19"/>
        <v>23454.520100804031</v>
      </c>
      <c r="BD58" s="1">
        <f t="shared" si="19"/>
        <v>20795.551521623063</v>
      </c>
      <c r="BE58" s="1">
        <f t="shared" si="19"/>
        <v>25142.924214417744</v>
      </c>
      <c r="BF58" s="1">
        <f t="shared" si="20"/>
        <v>21446.656821378339</v>
      </c>
      <c r="BG58" s="9">
        <f t="shared" si="20"/>
        <v>25350.964193300231</v>
      </c>
      <c r="BH58" s="1"/>
      <c r="BI58" s="1">
        <f t="shared" si="21"/>
        <v>135352.9411764706</v>
      </c>
      <c r="BJ58" s="1">
        <f t="shared" si="21"/>
        <v>34342.222689075628</v>
      </c>
      <c r="BK58" s="1">
        <f t="shared" si="21"/>
        <v>21606.432053376906</v>
      </c>
      <c r="BL58" s="1">
        <f t="shared" si="21"/>
        <v>22404.614952718675</v>
      </c>
      <c r="BM58" s="1">
        <f t="shared" si="21"/>
        <v>27420.971537001897</v>
      </c>
      <c r="BN58" s="1">
        <f t="shared" si="21"/>
        <v>26377.779628748216</v>
      </c>
      <c r="BO58" s="1">
        <f t="shared" si="21"/>
        <v>23235.256324110673</v>
      </c>
      <c r="BP58" s="1">
        <f t="shared" si="21"/>
        <v>27774.496892323197</v>
      </c>
      <c r="BQ58" s="1">
        <f t="shared" si="21"/>
        <v>23246.934414668547</v>
      </c>
      <c r="BR58" s="1">
        <f t="shared" si="21"/>
        <v>26009.627517985613</v>
      </c>
      <c r="BS58" s="1">
        <f t="shared" si="21"/>
        <v>27350.48603638227</v>
      </c>
      <c r="BT58" s="1">
        <f t="shared" si="21"/>
        <v>29961.324854266029</v>
      </c>
      <c r="BU58" s="1">
        <f t="shared" si="21"/>
        <v>28986.20164013507</v>
      </c>
      <c r="BV58" s="1">
        <f t="shared" si="21"/>
        <v>23443.472066036607</v>
      </c>
      <c r="BW58" s="1">
        <f t="shared" si="21"/>
        <v>20812.494136460555</v>
      </c>
      <c r="BX58" s="1">
        <f t="shared" si="21"/>
        <v>25211.473977695168</v>
      </c>
      <c r="BY58" s="1">
        <f t="shared" si="22"/>
        <v>21464.84746543779</v>
      </c>
      <c r="BZ58" s="9">
        <f t="shared" si="22"/>
        <v>25338.534315361932</v>
      </c>
      <c r="CA58" s="1"/>
      <c r="CB58" s="1">
        <f t="shared" si="23"/>
        <v>67636.421404682274</v>
      </c>
      <c r="CC58" s="1">
        <f t="shared" si="23"/>
        <v>34803.724052034318</v>
      </c>
      <c r="CD58" s="1">
        <f t="shared" si="23"/>
        <v>21627.905471289276</v>
      </c>
      <c r="CE58" s="1">
        <f t="shared" si="23"/>
        <v>22026.234393579074</v>
      </c>
      <c r="CF58" s="1">
        <f t="shared" si="23"/>
        <v>27393.773764258556</v>
      </c>
      <c r="CG58" s="1">
        <f t="shared" si="23"/>
        <v>26426.068192656174</v>
      </c>
      <c r="CH58" s="1">
        <f t="shared" si="23"/>
        <v>23331.967200158073</v>
      </c>
      <c r="CI58" s="1">
        <f t="shared" si="23"/>
        <v>27752.046125461253</v>
      </c>
      <c r="CJ58" s="1">
        <f t="shared" si="23"/>
        <v>23130.579662605436</v>
      </c>
      <c r="CK58" s="1">
        <f t="shared" si="23"/>
        <v>25982.075937950936</v>
      </c>
      <c r="CL58" s="1">
        <f t="shared" si="23"/>
        <v>23063.460187021818</v>
      </c>
      <c r="CM58" s="1">
        <f t="shared" si="23"/>
        <v>29786.39162496708</v>
      </c>
      <c r="CN58" s="1">
        <f t="shared" si="23"/>
        <v>28871.880153403643</v>
      </c>
      <c r="CO58" s="1">
        <f t="shared" si="23"/>
        <v>23197.461904195887</v>
      </c>
      <c r="CP58" s="1">
        <f t="shared" si="23"/>
        <v>20961.636696288551</v>
      </c>
      <c r="CQ58" s="1">
        <f t="shared" si="23"/>
        <v>25061.504553734063</v>
      </c>
      <c r="CR58" s="1">
        <f t="shared" si="24"/>
        <v>21460.438700823423</v>
      </c>
      <c r="CS58" s="9">
        <f t="shared" si="24"/>
        <v>25386.282937484448</v>
      </c>
      <c r="CT58" s="1">
        <f t="shared" si="15"/>
        <v>0</v>
      </c>
      <c r="CU58" s="1">
        <f t="shared" si="15"/>
        <v>69057.204968944105</v>
      </c>
      <c r="CV58" s="1">
        <f t="shared" si="15"/>
        <v>34787.149698960042</v>
      </c>
      <c r="CW58" s="1">
        <f t="shared" si="15"/>
        <v>21639.885973217908</v>
      </c>
      <c r="CX58" s="1">
        <f t="shared" si="15"/>
        <v>22060.166074074074</v>
      </c>
      <c r="CY58" s="1">
        <f t="shared" si="15"/>
        <v>28041.930635838151</v>
      </c>
      <c r="CZ58" s="1">
        <f t="shared" si="15"/>
        <v>26462.135577150984</v>
      </c>
      <c r="DA58" s="1">
        <f t="shared" si="15"/>
        <v>23356.956666666665</v>
      </c>
      <c r="DB58" s="1">
        <f t="shared" si="15"/>
        <v>27795.654466084619</v>
      </c>
      <c r="DC58" s="1">
        <f t="shared" si="15"/>
        <v>23086.258693609023</v>
      </c>
      <c r="DD58" s="1">
        <f t="shared" si="15"/>
        <v>25941.074678267174</v>
      </c>
      <c r="DE58" s="1">
        <f t="shared" si="15"/>
        <v>23085.582861990952</v>
      </c>
      <c r="DF58" s="1">
        <f t="shared" si="15"/>
        <v>29850.539461588971</v>
      </c>
      <c r="DG58" s="1">
        <f t="shared" si="15"/>
        <v>28795.612749762131</v>
      </c>
      <c r="DH58" s="1">
        <f t="shared" si="15"/>
        <v>23200.525226082817</v>
      </c>
      <c r="DI58" s="1">
        <f t="shared" si="15"/>
        <v>21071.724101479915</v>
      </c>
      <c r="DJ58" s="1">
        <f t="shared" si="15"/>
        <v>25034.408273381294</v>
      </c>
      <c r="DK58" s="1">
        <f t="shared" si="15"/>
        <v>22104.189627598811</v>
      </c>
      <c r="DL58" s="9">
        <f t="shared" si="15"/>
        <v>25489.043454269555</v>
      </c>
      <c r="DM58" s="1">
        <f t="shared" si="15"/>
        <v>0</v>
      </c>
      <c r="DN58" s="1">
        <f t="shared" si="15"/>
        <v>0</v>
      </c>
      <c r="DO58" s="1">
        <f t="shared" si="15"/>
        <v>0</v>
      </c>
      <c r="DP58" s="1">
        <f t="shared" si="15"/>
        <v>0</v>
      </c>
      <c r="DQ58" s="1">
        <f t="shared" si="15"/>
        <v>0</v>
      </c>
      <c r="DR58" s="1">
        <f t="shared" si="15"/>
        <v>0</v>
      </c>
      <c r="DS58" s="1">
        <f t="shared" si="15"/>
        <v>0</v>
      </c>
      <c r="DT58" s="1">
        <f t="shared" si="15"/>
        <v>0</v>
      </c>
      <c r="DU58" s="1">
        <f t="shared" si="15"/>
        <v>0</v>
      </c>
      <c r="DV58" s="1">
        <f t="shared" si="15"/>
        <v>0</v>
      </c>
      <c r="DW58" s="1">
        <f t="shared" si="15"/>
        <v>0</v>
      </c>
      <c r="DX58" s="1">
        <f t="shared" si="15"/>
        <v>0</v>
      </c>
      <c r="DY58" s="1">
        <f t="shared" si="15"/>
        <v>0</v>
      </c>
      <c r="DZ58" s="1">
        <f t="shared" si="15"/>
        <v>0</v>
      </c>
      <c r="EA58" s="1">
        <f t="shared" si="15"/>
        <v>0</v>
      </c>
      <c r="EB58" s="1">
        <f t="shared" si="15"/>
        <v>0</v>
      </c>
      <c r="EC58" s="1">
        <f t="shared" si="15"/>
        <v>0</v>
      </c>
      <c r="ED58" s="1">
        <f t="shared" si="15"/>
        <v>0</v>
      </c>
      <c r="EE58" s="9">
        <f t="shared" si="15"/>
        <v>0</v>
      </c>
      <c r="EF58" s="1">
        <f t="shared" si="15"/>
        <v>0</v>
      </c>
      <c r="EG58" s="1">
        <f t="shared" si="15"/>
        <v>0</v>
      </c>
      <c r="EH58" s="1">
        <f t="shared" si="15"/>
        <v>0</v>
      </c>
      <c r="EI58" s="1">
        <f t="shared" si="15"/>
        <v>0</v>
      </c>
      <c r="EJ58" s="1">
        <f t="shared" si="15"/>
        <v>0</v>
      </c>
      <c r="EK58" s="1">
        <f t="shared" si="15"/>
        <v>0</v>
      </c>
      <c r="EL58" s="1">
        <f t="shared" si="15"/>
        <v>0</v>
      </c>
      <c r="EM58" s="1">
        <f t="shared" si="15"/>
        <v>0</v>
      </c>
      <c r="EN58" s="1">
        <f t="shared" si="15"/>
        <v>0</v>
      </c>
      <c r="EO58" s="1">
        <f t="shared" si="15"/>
        <v>0</v>
      </c>
      <c r="EP58" s="1">
        <f t="shared" si="15"/>
        <v>0</v>
      </c>
      <c r="EQ58" s="1">
        <f t="shared" si="15"/>
        <v>0</v>
      </c>
      <c r="ER58" s="1">
        <f t="shared" si="15"/>
        <v>0</v>
      </c>
      <c r="ES58" s="1">
        <f t="shared" si="15"/>
        <v>0</v>
      </c>
      <c r="ET58" s="1">
        <f t="shared" si="15"/>
        <v>0</v>
      </c>
      <c r="EU58" s="1">
        <f t="shared" si="15"/>
        <v>0</v>
      </c>
      <c r="EV58" s="1">
        <f t="shared" si="15"/>
        <v>0</v>
      </c>
      <c r="EW58" s="1">
        <f t="shared" si="15"/>
        <v>0</v>
      </c>
      <c r="EX58" s="9">
        <f t="shared" si="15"/>
        <v>0</v>
      </c>
      <c r="EY58" s="1">
        <f t="shared" si="15"/>
        <v>0</v>
      </c>
      <c r="EZ58" s="1">
        <f t="shared" si="15"/>
        <v>0</v>
      </c>
      <c r="FA58" s="1">
        <f t="shared" si="15"/>
        <v>0</v>
      </c>
      <c r="FB58" s="1">
        <f t="shared" si="15"/>
        <v>0</v>
      </c>
      <c r="FC58" s="1">
        <f t="shared" si="15"/>
        <v>0</v>
      </c>
      <c r="FD58" s="1">
        <f t="shared" si="15"/>
        <v>0</v>
      </c>
      <c r="FE58" s="1">
        <f>+EL19</f>
        <v>0</v>
      </c>
      <c r="FF58" s="1">
        <f t="shared" si="16"/>
        <v>0</v>
      </c>
      <c r="FG58" s="1">
        <f t="shared" si="16"/>
        <v>0</v>
      </c>
      <c r="FH58" s="1">
        <f t="shared" si="16"/>
        <v>0</v>
      </c>
      <c r="FI58" s="1">
        <f t="shared" si="16"/>
        <v>0</v>
      </c>
      <c r="FJ58" s="1">
        <f t="shared" si="16"/>
        <v>0</v>
      </c>
      <c r="FK58" s="1">
        <f t="shared" si="16"/>
        <v>0</v>
      </c>
      <c r="FL58" s="1">
        <f t="shared" si="16"/>
        <v>0</v>
      </c>
      <c r="FM58" s="1">
        <f t="shared" si="16"/>
        <v>0</v>
      </c>
      <c r="FN58" s="1">
        <f t="shared" si="16"/>
        <v>0</v>
      </c>
      <c r="FO58" s="1">
        <f t="shared" si="16"/>
        <v>0</v>
      </c>
      <c r="FP58" s="1">
        <f t="shared" si="16"/>
        <v>0</v>
      </c>
      <c r="FQ58" s="9">
        <f t="shared" si="16"/>
        <v>0</v>
      </c>
      <c r="FR58" s="1">
        <f t="shared" si="16"/>
        <v>0</v>
      </c>
      <c r="FS58" s="1">
        <f t="shared" si="16"/>
        <v>0</v>
      </c>
      <c r="FT58" s="1">
        <f t="shared" si="16"/>
        <v>0</v>
      </c>
      <c r="FU58" s="1">
        <f t="shared" si="16"/>
        <v>0</v>
      </c>
      <c r="FV58" s="1">
        <f t="shared" si="16"/>
        <v>0</v>
      </c>
      <c r="FW58" s="1">
        <f t="shared" si="16"/>
        <v>0</v>
      </c>
      <c r="FX58" s="1">
        <f t="shared" si="16"/>
        <v>0</v>
      </c>
      <c r="FY58" s="1">
        <f t="shared" si="16"/>
        <v>0</v>
      </c>
      <c r="FZ58" s="1">
        <f t="shared" si="16"/>
        <v>0</v>
      </c>
      <c r="GA58" s="1">
        <f t="shared" si="16"/>
        <v>0</v>
      </c>
      <c r="GB58" s="1">
        <f t="shared" si="16"/>
        <v>0</v>
      </c>
      <c r="GC58" s="1">
        <f t="shared" si="16"/>
        <v>0</v>
      </c>
      <c r="GD58" s="1">
        <f t="shared" si="16"/>
        <v>0</v>
      </c>
      <c r="GE58" s="1">
        <f t="shared" si="16"/>
        <v>0</v>
      </c>
      <c r="GF58" s="1">
        <f t="shared" si="16"/>
        <v>0</v>
      </c>
      <c r="GG58" s="1">
        <f t="shared" si="16"/>
        <v>0</v>
      </c>
      <c r="GH58" s="1">
        <f t="shared" si="16"/>
        <v>0</v>
      </c>
      <c r="GI58" s="1">
        <f t="shared" si="16"/>
        <v>0</v>
      </c>
      <c r="GJ58" s="9">
        <f t="shared" si="16"/>
        <v>0</v>
      </c>
      <c r="GK58" s="1">
        <f t="shared" si="16"/>
        <v>0</v>
      </c>
      <c r="GL58" s="1">
        <f t="shared" si="16"/>
        <v>0</v>
      </c>
      <c r="GM58" s="1">
        <f t="shared" si="16"/>
        <v>0</v>
      </c>
      <c r="GN58" s="1">
        <f t="shared" si="16"/>
        <v>0</v>
      </c>
      <c r="GO58" s="1">
        <f t="shared" si="16"/>
        <v>0</v>
      </c>
      <c r="GP58" s="1">
        <f t="shared" si="16"/>
        <v>0</v>
      </c>
      <c r="GQ58" s="1">
        <f t="shared" si="16"/>
        <v>0</v>
      </c>
      <c r="GR58" s="1">
        <f t="shared" si="16"/>
        <v>0</v>
      </c>
      <c r="GS58" s="1">
        <f t="shared" si="16"/>
        <v>0</v>
      </c>
      <c r="GT58" s="1">
        <f t="shared" si="16"/>
        <v>0</v>
      </c>
      <c r="GU58" s="1">
        <f t="shared" si="16"/>
        <v>0</v>
      </c>
      <c r="GV58" s="1">
        <f t="shared" si="16"/>
        <v>0</v>
      </c>
      <c r="GW58" s="1">
        <f t="shared" si="16"/>
        <v>0</v>
      </c>
      <c r="GX58" s="1">
        <f t="shared" si="16"/>
        <v>0</v>
      </c>
      <c r="GY58" s="1">
        <f t="shared" si="16"/>
        <v>0</v>
      </c>
      <c r="GZ58" s="1">
        <f t="shared" si="16"/>
        <v>0</v>
      </c>
      <c r="HA58" s="1">
        <f t="shared" si="16"/>
        <v>0</v>
      </c>
      <c r="HB58" s="1">
        <f t="shared" si="16"/>
        <v>0</v>
      </c>
      <c r="HC58" s="9">
        <f t="shared" si="16"/>
        <v>0</v>
      </c>
      <c r="HD58" s="1">
        <f t="shared" si="16"/>
        <v>0</v>
      </c>
      <c r="HE58" s="1">
        <f t="shared" si="16"/>
        <v>0</v>
      </c>
      <c r="HF58" s="1">
        <f t="shared" si="16"/>
        <v>0</v>
      </c>
      <c r="HG58" s="1">
        <f t="shared" si="16"/>
        <v>0</v>
      </c>
      <c r="HH58" s="1">
        <f t="shared" si="16"/>
        <v>0</v>
      </c>
      <c r="HI58" s="1">
        <f t="shared" si="16"/>
        <v>0</v>
      </c>
      <c r="HJ58" s="1">
        <f t="shared" si="16"/>
        <v>0</v>
      </c>
      <c r="HK58" s="1">
        <f t="shared" si="16"/>
        <v>0</v>
      </c>
      <c r="HL58" s="1">
        <f t="shared" si="16"/>
        <v>0</v>
      </c>
      <c r="HM58" s="1">
        <f t="shared" si="16"/>
        <v>0</v>
      </c>
      <c r="HN58" s="1">
        <f t="shared" si="16"/>
        <v>0</v>
      </c>
      <c r="HO58" s="1">
        <f t="shared" si="16"/>
        <v>0</v>
      </c>
      <c r="HP58" s="1">
        <f t="shared" si="16"/>
        <v>0</v>
      </c>
      <c r="HQ58" s="1">
        <f>+GX19</f>
        <v>0</v>
      </c>
      <c r="HR58" s="1">
        <f t="shared" si="17"/>
        <v>0</v>
      </c>
      <c r="HS58" s="1">
        <f t="shared" si="17"/>
        <v>0</v>
      </c>
      <c r="HT58" s="1">
        <f t="shared" si="17"/>
        <v>0</v>
      </c>
      <c r="HU58" s="1">
        <f t="shared" si="17"/>
        <v>0</v>
      </c>
      <c r="HV58" s="9">
        <f t="shared" si="17"/>
        <v>0</v>
      </c>
      <c r="HW58" s="1"/>
      <c r="HX58" s="1"/>
      <c r="HY58" s="1">
        <v>26715.574443480775</v>
      </c>
      <c r="HZ58" s="1">
        <v>21719.300454545453</v>
      </c>
      <c r="IA58" s="1">
        <v>22152.531804972554</v>
      </c>
      <c r="IB58" s="1">
        <v>30537.997950819674</v>
      </c>
      <c r="IC58" s="1">
        <v>22715.32423296932</v>
      </c>
      <c r="ID58" s="1">
        <v>23187.104410256412</v>
      </c>
      <c r="IE58" s="1">
        <v>27934.222742344449</v>
      </c>
      <c r="IF58" s="1">
        <v>22373.965627864345</v>
      </c>
      <c r="IG58" s="1">
        <v>27434.413039417148</v>
      </c>
      <c r="IH58" s="1">
        <v>28349.76723163842</v>
      </c>
      <c r="II58" s="1">
        <v>35587.702789542862</v>
      </c>
      <c r="IJ58" s="1">
        <v>27958.952211489577</v>
      </c>
      <c r="IK58" s="1">
        <v>24168.968559178902</v>
      </c>
      <c r="IL58" s="1">
        <v>21928.249655172414</v>
      </c>
      <c r="IM58" s="1">
        <v>26142.335249042146</v>
      </c>
      <c r="IN58" s="1">
        <v>21023.599639082237</v>
      </c>
      <c r="IO58" s="1">
        <v>25495.878156718223</v>
      </c>
      <c r="IP58" s="1"/>
      <c r="IQ58" s="1">
        <v>135352.9411764706</v>
      </c>
      <c r="IR58" s="1">
        <v>36059.211451247167</v>
      </c>
      <c r="IS58" s="1">
        <v>21649.021211701096</v>
      </c>
      <c r="IT58" s="1">
        <v>23000.582671149143</v>
      </c>
      <c r="IU58" s="1">
        <v>29182.072657743785</v>
      </c>
      <c r="IV58" s="1">
        <v>27415.074940334129</v>
      </c>
      <c r="IW58" s="1">
        <v>23030.730700179534</v>
      </c>
      <c r="IX58" s="1">
        <v>27913.244925805902</v>
      </c>
      <c r="IY58" s="1">
        <v>23512.180409914203</v>
      </c>
      <c r="IZ58" s="1">
        <v>27039.673661746398</v>
      </c>
      <c r="JA58" s="1">
        <v>28051.661126005361</v>
      </c>
      <c r="JB58" s="1">
        <v>34144.69316396019</v>
      </c>
      <c r="JC58" s="1">
        <v>28234.79261777562</v>
      </c>
      <c r="JD58" s="1">
        <v>23344.468196164118</v>
      </c>
      <c r="JE58" s="1">
        <v>21047.896125772037</v>
      </c>
      <c r="JF58" s="1">
        <v>25629.014953271027</v>
      </c>
      <c r="JG58" s="1">
        <v>20893.082305502845</v>
      </c>
      <c r="JH58" s="1">
        <v>26108.467555179464</v>
      </c>
    </row>
    <row r="59" spans="1:268" x14ac:dyDescent="0.4">
      <c r="B59" t="s">
        <v>91</v>
      </c>
      <c r="C59" s="1"/>
      <c r="D59" s="1">
        <v>400000</v>
      </c>
      <c r="E59" s="1">
        <v>113334.12731767615</v>
      </c>
      <c r="F59" s="1">
        <v>97953.061284619922</v>
      </c>
      <c r="G59" s="1">
        <v>105771.46092307693</v>
      </c>
      <c r="H59" s="1">
        <v>95758.095588235301</v>
      </c>
      <c r="I59" s="1">
        <v>92595.674744897959</v>
      </c>
      <c r="J59" s="1">
        <v>94952.155844155845</v>
      </c>
      <c r="K59" s="1">
        <v>103202.30183486239</v>
      </c>
      <c r="L59" s="1">
        <v>100736.32751091704</v>
      </c>
      <c r="M59" s="1">
        <v>92363.428370786511</v>
      </c>
      <c r="N59" s="1">
        <v>129654.07797029703</v>
      </c>
      <c r="O59" s="1">
        <v>101937.26452599389</v>
      </c>
      <c r="P59" s="1">
        <v>101673.46680080483</v>
      </c>
      <c r="Q59" s="1">
        <v>106201.34010643445</v>
      </c>
      <c r="R59" s="1">
        <v>86142.631419939571</v>
      </c>
      <c r="S59" s="1">
        <v>91724.379310344826</v>
      </c>
      <c r="T59" s="1">
        <v>88579.303278688531</v>
      </c>
      <c r="U59" s="9">
        <v>101477.80219096228</v>
      </c>
      <c r="V59" s="1"/>
      <c r="W59" s="1">
        <f>+D20</f>
        <v>240714.28571428571</v>
      </c>
      <c r="X59" s="1">
        <f t="shared" ref="X59:AN59" si="25">+E20</f>
        <v>113406.65313653137</v>
      </c>
      <c r="Y59" s="1">
        <f t="shared" si="25"/>
        <v>97562.170602125145</v>
      </c>
      <c r="Z59" s="1">
        <f t="shared" si="25"/>
        <v>105679.15673017825</v>
      </c>
      <c r="AA59" s="1">
        <f t="shared" si="25"/>
        <v>96119.266666666663</v>
      </c>
      <c r="AB59" s="1">
        <f t="shared" si="25"/>
        <v>92623.559085133413</v>
      </c>
      <c r="AC59" s="1">
        <f t="shared" si="25"/>
        <v>95030.36995153474</v>
      </c>
      <c r="AD59" s="1">
        <f t="shared" si="25"/>
        <v>103590.79516994633</v>
      </c>
      <c r="AE59" s="1">
        <f t="shared" si="25"/>
        <v>99962.079828937989</v>
      </c>
      <c r="AF59" s="1">
        <f t="shared" si="25"/>
        <v>91688.386037910313</v>
      </c>
      <c r="AG59" s="1">
        <f t="shared" si="25"/>
        <v>119491.37995049504</v>
      </c>
      <c r="AH59" s="1">
        <f t="shared" si="25"/>
        <v>102123.58891454965</v>
      </c>
      <c r="AI59" s="1">
        <f t="shared" si="25"/>
        <v>101464.826</v>
      </c>
      <c r="AJ59" s="1">
        <f t="shared" si="25"/>
        <v>106370.2761627907</v>
      </c>
      <c r="AK59" s="1">
        <f t="shared" si="25"/>
        <v>86236.399399399394</v>
      </c>
      <c r="AL59" s="1">
        <f t="shared" si="25"/>
        <v>91688.548571428575</v>
      </c>
      <c r="AM59" s="1">
        <f t="shared" si="25"/>
        <v>88937.232786885244</v>
      </c>
      <c r="AN59" s="9">
        <f t="shared" si="25"/>
        <v>100815.53760445683</v>
      </c>
      <c r="AO59" s="1"/>
      <c r="AP59" s="1">
        <f t="shared" si="19"/>
        <v>240714.28571428571</v>
      </c>
      <c r="AQ59" s="1">
        <f t="shared" si="19"/>
        <v>117813.85537700866</v>
      </c>
      <c r="AR59" s="1">
        <f t="shared" si="19"/>
        <v>102117.86977018267</v>
      </c>
      <c r="AS59" s="1">
        <f t="shared" si="19"/>
        <v>110594.75621890547</v>
      </c>
      <c r="AT59" s="1">
        <f t="shared" si="19"/>
        <v>96284.335820895518</v>
      </c>
      <c r="AU59" s="1">
        <f t="shared" si="19"/>
        <v>95915.968394437426</v>
      </c>
      <c r="AV59" s="1">
        <f t="shared" si="19"/>
        <v>97306.6731078905</v>
      </c>
      <c r="AW59" s="1">
        <f t="shared" si="19"/>
        <v>108965.66080843586</v>
      </c>
      <c r="AX59" s="1">
        <f t="shared" si="19"/>
        <v>100857.87823652904</v>
      </c>
      <c r="AY59" s="1">
        <f t="shared" si="19"/>
        <v>97101.418550992152</v>
      </c>
      <c r="AZ59" s="1">
        <f t="shared" si="19"/>
        <v>121581.66143790849</v>
      </c>
      <c r="BA59" s="1">
        <f t="shared" si="19"/>
        <v>105371.87461538462</v>
      </c>
      <c r="BB59" s="1">
        <f t="shared" si="19"/>
        <v>104125.626</v>
      </c>
      <c r="BC59" s="1">
        <f t="shared" si="19"/>
        <v>109230.2854378326</v>
      </c>
      <c r="BD59" s="1">
        <f t="shared" si="19"/>
        <v>88600.972727272732</v>
      </c>
      <c r="BE59" s="1">
        <f t="shared" si="19"/>
        <v>97219.801136363632</v>
      </c>
      <c r="BF59" s="1">
        <f t="shared" si="20"/>
        <v>92960.236541598701</v>
      </c>
      <c r="BG59" s="9">
        <f t="shared" si="20"/>
        <v>104447.89091134224</v>
      </c>
      <c r="BH59" s="1"/>
      <c r="BI59" s="1">
        <f t="shared" si="21"/>
        <v>240714.28571428571</v>
      </c>
      <c r="BJ59" s="1">
        <f t="shared" si="21"/>
        <v>117882.49565217391</v>
      </c>
      <c r="BK59" s="1">
        <f t="shared" si="21"/>
        <v>102157.50293772033</v>
      </c>
      <c r="BL59" s="1">
        <f t="shared" si="21"/>
        <v>110629.57187696171</v>
      </c>
      <c r="BM59" s="1">
        <f t="shared" si="21"/>
        <v>96302.927007299266</v>
      </c>
      <c r="BN59" s="1">
        <f t="shared" si="21"/>
        <v>95900.656171284631</v>
      </c>
      <c r="BO59" s="1">
        <f t="shared" si="21"/>
        <v>97386.615883306324</v>
      </c>
      <c r="BP59" s="1">
        <f t="shared" si="21"/>
        <v>109269.30430958663</v>
      </c>
      <c r="BQ59" s="1">
        <f t="shared" si="21"/>
        <v>101017.56350877193</v>
      </c>
      <c r="BR59" s="1">
        <f t="shared" si="21"/>
        <v>97140.858725761776</v>
      </c>
      <c r="BS59" s="1">
        <f t="shared" si="21"/>
        <v>121662.59342105263</v>
      </c>
      <c r="BT59" s="1">
        <f t="shared" si="21"/>
        <v>105833.3905775076</v>
      </c>
      <c r="BU59" s="1">
        <f t="shared" si="21"/>
        <v>103048.34331337325</v>
      </c>
      <c r="BV59" s="1">
        <f t="shared" si="21"/>
        <v>109221.8759018759</v>
      </c>
      <c r="BW59" s="1">
        <f t="shared" si="21"/>
        <v>88797.320121951227</v>
      </c>
      <c r="BX59" s="1">
        <f t="shared" si="21"/>
        <v>96951.011173184364</v>
      </c>
      <c r="BY59" s="1">
        <f t="shared" si="22"/>
        <v>92982.939739413676</v>
      </c>
      <c r="BZ59" s="9">
        <f t="shared" si="22"/>
        <v>104499.93613861386</v>
      </c>
      <c r="CA59" s="1"/>
      <c r="CB59" s="1">
        <f t="shared" si="23"/>
        <v>232523.24324324325</v>
      </c>
      <c r="CC59" s="1">
        <f t="shared" si="23"/>
        <v>117731.86296296296</v>
      </c>
      <c r="CD59" s="1">
        <f t="shared" si="23"/>
        <v>102269.63700648202</v>
      </c>
      <c r="CE59" s="1">
        <f t="shared" si="23"/>
        <v>110597.8593059937</v>
      </c>
      <c r="CF59" s="1">
        <f t="shared" si="23"/>
        <v>96382.698529411762</v>
      </c>
      <c r="CG59" s="1">
        <f t="shared" si="23"/>
        <v>96022.808564231731</v>
      </c>
      <c r="CH59" s="1">
        <f t="shared" si="23"/>
        <v>97358.320388349515</v>
      </c>
      <c r="CI59" s="1">
        <f t="shared" si="23"/>
        <v>109290.6862917399</v>
      </c>
      <c r="CJ59" s="1">
        <f t="shared" si="23"/>
        <v>101239.47871598045</v>
      </c>
      <c r="CK59" s="1">
        <f t="shared" si="23"/>
        <v>97062.096251735304</v>
      </c>
      <c r="CL59" s="1">
        <f t="shared" si="23"/>
        <v>102950.63555555555</v>
      </c>
      <c r="CM59" s="1">
        <f t="shared" si="23"/>
        <v>104507.66641394996</v>
      </c>
      <c r="CN59" s="1">
        <f t="shared" si="23"/>
        <v>102626.48214285714</v>
      </c>
      <c r="CO59" s="1">
        <f t="shared" si="23"/>
        <v>106318.28948679622</v>
      </c>
      <c r="CP59" s="1">
        <f t="shared" si="23"/>
        <v>89042.526153846149</v>
      </c>
      <c r="CQ59" s="1">
        <f t="shared" si="23"/>
        <v>97242.217877094969</v>
      </c>
      <c r="CR59" s="1">
        <f t="shared" si="24"/>
        <v>93343.24433656958</v>
      </c>
      <c r="CS59" s="9">
        <f t="shared" si="24"/>
        <v>104573.63451557093</v>
      </c>
      <c r="CT59" s="1">
        <f t="shared" ref="CT59:DY59" si="26">+CA20</f>
        <v>0</v>
      </c>
      <c r="CU59" s="1">
        <f t="shared" si="26"/>
        <v>212484.76793248946</v>
      </c>
      <c r="CV59" s="1">
        <f t="shared" si="26"/>
        <v>117707.22456575683</v>
      </c>
      <c r="CW59" s="1">
        <f t="shared" si="26"/>
        <v>102241.5897887324</v>
      </c>
      <c r="CX59" s="1">
        <f t="shared" si="26"/>
        <v>110593.99370277078</v>
      </c>
      <c r="CY59" s="1">
        <f t="shared" si="26"/>
        <v>96382.698529411762</v>
      </c>
      <c r="CZ59" s="1">
        <f t="shared" si="26"/>
        <v>96018.254777070062</v>
      </c>
      <c r="DA59" s="1">
        <f t="shared" si="26"/>
        <v>98113.460291734198</v>
      </c>
      <c r="DB59" s="1">
        <f t="shared" si="26"/>
        <v>109688.45144356956</v>
      </c>
      <c r="DC59" s="1">
        <f t="shared" si="26"/>
        <v>101329.25017373177</v>
      </c>
      <c r="DD59" s="1">
        <f t="shared" si="26"/>
        <v>97307.357836338415</v>
      </c>
      <c r="DE59" s="1">
        <f t="shared" si="26"/>
        <v>100830.08819133035</v>
      </c>
      <c r="DF59" s="1">
        <f t="shared" si="26"/>
        <v>104482.82628398792</v>
      </c>
      <c r="DG59" s="1">
        <f t="shared" si="26"/>
        <v>102841.19161676646</v>
      </c>
      <c r="DH59" s="1">
        <f t="shared" si="26"/>
        <v>106156.0009765625</v>
      </c>
      <c r="DI59" s="1">
        <f t="shared" si="26"/>
        <v>89123.152905198775</v>
      </c>
      <c r="DJ59" s="1">
        <f t="shared" si="26"/>
        <v>97480.932960893857</v>
      </c>
      <c r="DK59" s="1">
        <f t="shared" si="26"/>
        <v>93270.732689210956</v>
      </c>
      <c r="DL59" s="9">
        <f t="shared" si="26"/>
        <v>104684.08749309265</v>
      </c>
      <c r="DM59" s="1">
        <f t="shared" si="26"/>
        <v>0</v>
      </c>
      <c r="DN59" s="1">
        <f t="shared" si="26"/>
        <v>0</v>
      </c>
      <c r="DO59" s="1">
        <f t="shared" si="26"/>
        <v>0</v>
      </c>
      <c r="DP59" s="1">
        <f t="shared" si="26"/>
        <v>0</v>
      </c>
      <c r="DQ59" s="1">
        <f t="shared" si="26"/>
        <v>0</v>
      </c>
      <c r="DR59" s="1">
        <f t="shared" si="26"/>
        <v>0</v>
      </c>
      <c r="DS59" s="1">
        <f t="shared" si="26"/>
        <v>0</v>
      </c>
      <c r="DT59" s="1">
        <f t="shared" si="26"/>
        <v>0</v>
      </c>
      <c r="DU59" s="1">
        <f t="shared" si="26"/>
        <v>0</v>
      </c>
      <c r="DV59" s="1">
        <f t="shared" si="26"/>
        <v>0</v>
      </c>
      <c r="DW59" s="1">
        <f t="shared" si="26"/>
        <v>0</v>
      </c>
      <c r="DX59" s="1">
        <f t="shared" si="26"/>
        <v>0</v>
      </c>
      <c r="DY59" s="1">
        <f t="shared" si="26"/>
        <v>0</v>
      </c>
      <c r="DZ59" s="1">
        <f t="shared" ref="DZ59:FD59" si="27">+DG20</f>
        <v>0</v>
      </c>
      <c r="EA59" s="1">
        <f t="shared" si="27"/>
        <v>0</v>
      </c>
      <c r="EB59" s="1">
        <f t="shared" si="27"/>
        <v>0</v>
      </c>
      <c r="EC59" s="1">
        <f t="shared" si="27"/>
        <v>0</v>
      </c>
      <c r="ED59" s="1">
        <f t="shared" si="27"/>
        <v>0</v>
      </c>
      <c r="EE59" s="9">
        <f t="shared" si="27"/>
        <v>0</v>
      </c>
      <c r="EF59" s="1">
        <f t="shared" si="27"/>
        <v>0</v>
      </c>
      <c r="EG59" s="1">
        <f t="shared" si="27"/>
        <v>0</v>
      </c>
      <c r="EH59" s="1">
        <f t="shared" si="27"/>
        <v>0</v>
      </c>
      <c r="EI59" s="1">
        <f t="shared" si="27"/>
        <v>0</v>
      </c>
      <c r="EJ59" s="1">
        <f t="shared" si="27"/>
        <v>0</v>
      </c>
      <c r="EK59" s="1">
        <f t="shared" si="27"/>
        <v>0</v>
      </c>
      <c r="EL59" s="1">
        <f t="shared" si="27"/>
        <v>0</v>
      </c>
      <c r="EM59" s="1">
        <f t="shared" si="27"/>
        <v>0</v>
      </c>
      <c r="EN59" s="1">
        <f t="shared" si="27"/>
        <v>0</v>
      </c>
      <c r="EO59" s="1">
        <f t="shared" si="27"/>
        <v>0</v>
      </c>
      <c r="EP59" s="1">
        <f t="shared" si="27"/>
        <v>0</v>
      </c>
      <c r="EQ59" s="1">
        <f t="shared" si="27"/>
        <v>0</v>
      </c>
      <c r="ER59" s="1">
        <f t="shared" si="27"/>
        <v>0</v>
      </c>
      <c r="ES59" s="1">
        <f t="shared" si="27"/>
        <v>0</v>
      </c>
      <c r="ET59" s="1">
        <f t="shared" si="27"/>
        <v>0</v>
      </c>
      <c r="EU59" s="1">
        <f t="shared" si="27"/>
        <v>0</v>
      </c>
      <c r="EV59" s="1">
        <f t="shared" si="27"/>
        <v>0</v>
      </c>
      <c r="EW59" s="1">
        <f t="shared" si="27"/>
        <v>0</v>
      </c>
      <c r="EX59" s="9">
        <f t="shared" si="27"/>
        <v>0</v>
      </c>
      <c r="EY59" s="1">
        <f t="shared" si="27"/>
        <v>0</v>
      </c>
      <c r="EZ59" s="1">
        <f t="shared" si="27"/>
        <v>0</v>
      </c>
      <c r="FA59" s="1">
        <f t="shared" si="27"/>
        <v>0</v>
      </c>
      <c r="FB59" s="1">
        <f t="shared" si="27"/>
        <v>0</v>
      </c>
      <c r="FC59" s="1">
        <f t="shared" si="27"/>
        <v>0</v>
      </c>
      <c r="FD59" s="1">
        <f t="shared" si="27"/>
        <v>0</v>
      </c>
      <c r="FE59" s="1">
        <f>+EL20</f>
        <v>0</v>
      </c>
      <c r="FF59" s="1">
        <f t="shared" ref="FF59:GK59" si="28">+EM20</f>
        <v>0</v>
      </c>
      <c r="FG59" s="1">
        <f t="shared" si="28"/>
        <v>0</v>
      </c>
      <c r="FH59" s="1">
        <f t="shared" si="28"/>
        <v>0</v>
      </c>
      <c r="FI59" s="1">
        <f t="shared" si="28"/>
        <v>0</v>
      </c>
      <c r="FJ59" s="1">
        <f t="shared" si="28"/>
        <v>0</v>
      </c>
      <c r="FK59" s="1">
        <f t="shared" si="28"/>
        <v>0</v>
      </c>
      <c r="FL59" s="1">
        <f t="shared" si="28"/>
        <v>0</v>
      </c>
      <c r="FM59" s="1">
        <f t="shared" si="28"/>
        <v>0</v>
      </c>
      <c r="FN59" s="1">
        <f t="shared" si="28"/>
        <v>0</v>
      </c>
      <c r="FO59" s="1">
        <f t="shared" si="28"/>
        <v>0</v>
      </c>
      <c r="FP59" s="1">
        <f t="shared" si="28"/>
        <v>0</v>
      </c>
      <c r="FQ59" s="9">
        <f t="shared" si="28"/>
        <v>0</v>
      </c>
      <c r="FR59" s="1">
        <f t="shared" si="28"/>
        <v>0</v>
      </c>
      <c r="FS59" s="1">
        <f t="shared" si="28"/>
        <v>0</v>
      </c>
      <c r="FT59" s="1">
        <f t="shared" si="28"/>
        <v>0</v>
      </c>
      <c r="FU59" s="1">
        <f t="shared" si="28"/>
        <v>0</v>
      </c>
      <c r="FV59" s="1">
        <f t="shared" si="28"/>
        <v>0</v>
      </c>
      <c r="FW59" s="1">
        <f t="shared" si="28"/>
        <v>0</v>
      </c>
      <c r="FX59" s="1">
        <f t="shared" si="28"/>
        <v>0</v>
      </c>
      <c r="FY59" s="1">
        <f t="shared" si="28"/>
        <v>0</v>
      </c>
      <c r="FZ59" s="1">
        <f t="shared" si="28"/>
        <v>0</v>
      </c>
      <c r="GA59" s="1">
        <f t="shared" si="28"/>
        <v>0</v>
      </c>
      <c r="GB59" s="1">
        <f t="shared" si="28"/>
        <v>0</v>
      </c>
      <c r="GC59" s="1">
        <f t="shared" si="28"/>
        <v>0</v>
      </c>
      <c r="GD59" s="1">
        <f t="shared" si="28"/>
        <v>0</v>
      </c>
      <c r="GE59" s="1">
        <f t="shared" si="28"/>
        <v>0</v>
      </c>
      <c r="GF59" s="1">
        <f t="shared" si="28"/>
        <v>0</v>
      </c>
      <c r="GG59" s="1">
        <f t="shared" si="28"/>
        <v>0</v>
      </c>
      <c r="GH59" s="1">
        <f t="shared" si="28"/>
        <v>0</v>
      </c>
      <c r="GI59" s="1">
        <f t="shared" si="28"/>
        <v>0</v>
      </c>
      <c r="GJ59" s="9">
        <f t="shared" si="28"/>
        <v>0</v>
      </c>
      <c r="GK59" s="1">
        <f t="shared" si="28"/>
        <v>0</v>
      </c>
      <c r="GL59" s="1">
        <f t="shared" ref="GL59:HP59" si="29">+FS20</f>
        <v>0</v>
      </c>
      <c r="GM59" s="1">
        <f t="shared" si="29"/>
        <v>0</v>
      </c>
      <c r="GN59" s="1">
        <f t="shared" si="29"/>
        <v>0</v>
      </c>
      <c r="GO59" s="1">
        <f t="shared" si="29"/>
        <v>0</v>
      </c>
      <c r="GP59" s="1">
        <f t="shared" si="29"/>
        <v>0</v>
      </c>
      <c r="GQ59" s="1">
        <f t="shared" si="29"/>
        <v>0</v>
      </c>
      <c r="GR59" s="1">
        <f t="shared" si="29"/>
        <v>0</v>
      </c>
      <c r="GS59" s="1">
        <f t="shared" si="29"/>
        <v>0</v>
      </c>
      <c r="GT59" s="1">
        <f t="shared" si="29"/>
        <v>0</v>
      </c>
      <c r="GU59" s="1">
        <f t="shared" si="29"/>
        <v>0</v>
      </c>
      <c r="GV59" s="1">
        <f t="shared" si="29"/>
        <v>0</v>
      </c>
      <c r="GW59" s="1">
        <f t="shared" si="29"/>
        <v>0</v>
      </c>
      <c r="GX59" s="1">
        <f t="shared" si="29"/>
        <v>0</v>
      </c>
      <c r="GY59" s="1">
        <f t="shared" si="29"/>
        <v>0</v>
      </c>
      <c r="GZ59" s="1">
        <f t="shared" si="29"/>
        <v>0</v>
      </c>
      <c r="HA59" s="1">
        <f t="shared" si="29"/>
        <v>0</v>
      </c>
      <c r="HB59" s="1">
        <f t="shared" si="29"/>
        <v>0</v>
      </c>
      <c r="HC59" s="9">
        <f t="shared" si="29"/>
        <v>0</v>
      </c>
      <c r="HD59" s="1">
        <f t="shared" si="29"/>
        <v>0</v>
      </c>
      <c r="HE59" s="1">
        <f t="shared" si="29"/>
        <v>0</v>
      </c>
      <c r="HF59" s="1">
        <f t="shared" si="29"/>
        <v>0</v>
      </c>
      <c r="HG59" s="1">
        <f t="shared" si="29"/>
        <v>0</v>
      </c>
      <c r="HH59" s="1">
        <f t="shared" si="29"/>
        <v>0</v>
      </c>
      <c r="HI59" s="1">
        <f t="shared" si="29"/>
        <v>0</v>
      </c>
      <c r="HJ59" s="1">
        <f t="shared" si="29"/>
        <v>0</v>
      </c>
      <c r="HK59" s="1">
        <f t="shared" si="29"/>
        <v>0</v>
      </c>
      <c r="HL59" s="1">
        <f t="shared" si="29"/>
        <v>0</v>
      </c>
      <c r="HM59" s="1">
        <f t="shared" si="29"/>
        <v>0</v>
      </c>
      <c r="HN59" s="1">
        <f t="shared" si="29"/>
        <v>0</v>
      </c>
      <c r="HO59" s="1">
        <f t="shared" si="29"/>
        <v>0</v>
      </c>
      <c r="HP59" s="1">
        <f t="shared" si="29"/>
        <v>0</v>
      </c>
      <c r="HQ59" s="1">
        <f>+GX20</f>
        <v>0</v>
      </c>
      <c r="HR59" s="1">
        <f t="shared" si="17"/>
        <v>0</v>
      </c>
      <c r="HS59" s="1">
        <f t="shared" si="17"/>
        <v>0</v>
      </c>
      <c r="HT59" s="1">
        <f t="shared" si="17"/>
        <v>0</v>
      </c>
      <c r="HU59" s="1">
        <f t="shared" si="17"/>
        <v>0</v>
      </c>
      <c r="HV59" s="9">
        <f t="shared" si="17"/>
        <v>0</v>
      </c>
      <c r="HW59" s="1"/>
      <c r="HX59" s="1"/>
      <c r="HY59" s="1">
        <v>115177.74289405685</v>
      </c>
      <c r="HZ59" s="1">
        <v>101333.64407778432</v>
      </c>
      <c r="IA59" s="1">
        <v>108198.89054404145</v>
      </c>
      <c r="IB59" s="1">
        <v>105225.7372881356</v>
      </c>
      <c r="IC59" s="1">
        <v>93668.444300518138</v>
      </c>
      <c r="ID59" s="1">
        <v>95470.738693467341</v>
      </c>
      <c r="IE59" s="1">
        <v>106180.3299725023</v>
      </c>
      <c r="IF59" s="1">
        <v>121215.38721528288</v>
      </c>
      <c r="IG59" s="1">
        <v>107776.40896487985</v>
      </c>
      <c r="IH59" s="1">
        <v>113406.14131736527</v>
      </c>
      <c r="II59" s="1">
        <v>105817.32775919733</v>
      </c>
      <c r="IJ59" s="1">
        <v>108201.79175257732</v>
      </c>
      <c r="IK59" s="1">
        <v>111426.85526979325</v>
      </c>
      <c r="IL59" s="1">
        <v>89361.649425287353</v>
      </c>
      <c r="IM59" s="1">
        <v>92475.987421383645</v>
      </c>
      <c r="IN59" s="1">
        <v>92815.155448717953</v>
      </c>
      <c r="IO59" s="1">
        <v>106829.23291846583</v>
      </c>
      <c r="IP59" s="1"/>
      <c r="IQ59" s="1">
        <v>400000</v>
      </c>
      <c r="IR59" s="1">
        <v>114511.36464771323</v>
      </c>
      <c r="IS59" s="1">
        <v>100125.68709487331</v>
      </c>
      <c r="IT59" s="1">
        <v>112722.07446153846</v>
      </c>
      <c r="IU59" s="1">
        <v>92656.625</v>
      </c>
      <c r="IV59" s="1">
        <v>94022.005102040814</v>
      </c>
      <c r="IW59" s="1">
        <v>97083.811688311689</v>
      </c>
      <c r="IX59" s="1">
        <v>107181.82385321101</v>
      </c>
      <c r="IY59" s="1">
        <v>180402.00218340612</v>
      </c>
      <c r="IZ59" s="1">
        <v>112809.19943820225</v>
      </c>
      <c r="JA59" s="1">
        <v>105163.87995049504</v>
      </c>
      <c r="JB59" s="1">
        <v>105268.70489296636</v>
      </c>
      <c r="JC59" s="1">
        <v>102899.70020120725</v>
      </c>
      <c r="JD59" s="1">
        <v>110788.51040154813</v>
      </c>
      <c r="JE59" s="1">
        <v>88373.537764350447</v>
      </c>
      <c r="JF59" s="1">
        <v>98193.977011494251</v>
      </c>
      <c r="JG59" s="1">
        <v>108179.02295081968</v>
      </c>
      <c r="JH59" s="1">
        <v>112924.00136935142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9EE9-FFFD-4BBC-867C-F12C24DA22F8}">
  <sheetPr codeName="Sheet12" filterMode="1"/>
  <dimension ref="A1:IO103"/>
  <sheetViews>
    <sheetView zoomScale="85" zoomScaleNormal="85" workbookViewId="0">
      <pane xSplit="2" ySplit="2" topLeftCell="U35" activePane="bottomRight" state="frozen"/>
      <selection activeCell="A3" sqref="A3:XFD62"/>
      <selection pane="topRight" activeCell="A3" sqref="A3:XFD62"/>
      <selection pane="bottomLeft" activeCell="A3" sqref="A3:XFD62"/>
      <selection pane="bottomRight" activeCell="HV35" sqref="HV35"/>
    </sheetView>
  </sheetViews>
  <sheetFormatPr defaultRowHeight="17.399999999999999" outlineLevelCol="1" x14ac:dyDescent="0.4"/>
  <cols>
    <col min="1" max="1" width="12" bestFit="1" customWidth="1"/>
    <col min="2" max="2" width="19.3984375" bestFit="1" customWidth="1"/>
    <col min="3" max="3" width="13.5" hidden="1" customWidth="1" outlineLevel="1"/>
    <col min="4" max="5" width="10.09765625" hidden="1" customWidth="1" outlineLevel="1"/>
    <col min="6" max="6" width="10.09765625" hidden="1" customWidth="1" outlineLevel="1" collapsed="1"/>
    <col min="7" max="7" width="10.09765625" hidden="1" customWidth="1" outlineLevel="1"/>
    <col min="8" max="8" width="10.09765625" hidden="1" customWidth="1" outlineLevel="1" collapsed="1"/>
    <col min="9" max="10" width="10.09765625" hidden="1" customWidth="1" outlineLevel="1"/>
    <col min="11" max="11" width="10.09765625" hidden="1" customWidth="1" outlineLevel="1" collapsed="1"/>
    <col min="12" max="12" width="10.09765625" hidden="1" customWidth="1" outlineLevel="1"/>
    <col min="13" max="13" width="10.09765625" hidden="1" customWidth="1" outlineLevel="1" collapsed="1"/>
    <col min="14" max="15" width="10.09765625" hidden="1" customWidth="1" outlineLevel="1"/>
    <col min="16" max="16" width="10.09765625" hidden="1" customWidth="1" outlineLevel="1" collapsed="1"/>
    <col min="17" max="20" width="10.09765625" hidden="1" customWidth="1" outlineLevel="1"/>
    <col min="21" max="21" width="10.09765625" bestFit="1" customWidth="1" collapsed="1"/>
    <col min="22" max="23" width="10.09765625" hidden="1" customWidth="1" outlineLevel="1"/>
    <col min="24" max="24" width="10.09765625" hidden="1" customWidth="1" outlineLevel="1" collapsed="1"/>
    <col min="25" max="25" width="10.09765625" hidden="1" customWidth="1" outlineLevel="1"/>
    <col min="26" max="27" width="10.09765625" hidden="1" customWidth="1" outlineLevel="1" collapsed="1"/>
    <col min="28" max="39" width="10.09765625" hidden="1" customWidth="1" outlineLevel="1"/>
    <col min="40" max="40" width="10.09765625" bestFit="1" customWidth="1" collapsed="1"/>
    <col min="41" max="50" width="10.09765625" hidden="1" customWidth="1" outlineLevel="1"/>
    <col min="51" max="51" width="11.69921875" hidden="1" customWidth="1" outlineLevel="1"/>
    <col min="52" max="58" width="10.09765625" hidden="1" customWidth="1" outlineLevel="1"/>
    <col min="59" max="59" width="10.09765625" bestFit="1" customWidth="1" collapsed="1"/>
    <col min="60" max="77" width="10.09765625" hidden="1" customWidth="1" outlineLevel="1"/>
    <col min="78" max="78" width="10.09765625" bestFit="1" customWidth="1" collapsed="1"/>
    <col min="79" max="84" width="10.09765625" hidden="1" customWidth="1" outlineLevel="1"/>
    <col min="85" max="85" width="10.09765625" hidden="1" customWidth="1" outlineLevel="1" collapsed="1"/>
    <col min="86" max="96" width="10.09765625" hidden="1" customWidth="1" outlineLevel="1"/>
    <col min="97" max="97" width="10.09765625" bestFit="1" customWidth="1" collapsed="1"/>
    <col min="98" max="115" width="10.09765625" hidden="1" customWidth="1" outlineLevel="1"/>
    <col min="116" max="116" width="10.09765625" bestFit="1" customWidth="1" collapsed="1"/>
    <col min="117" max="134" width="10.09765625" hidden="1" customWidth="1" outlineLevel="1"/>
    <col min="135" max="135" width="10.09765625" bestFit="1" customWidth="1" collapsed="1"/>
    <col min="136" max="153" width="10.09765625" hidden="1" customWidth="1" outlineLevel="1"/>
    <col min="154" max="154" width="10.09765625" bestFit="1" customWidth="1" collapsed="1"/>
    <col min="155" max="172" width="10.09765625" hidden="1" customWidth="1" outlineLevel="1"/>
    <col min="173" max="173" width="10.09765625" bestFit="1" customWidth="1" collapsed="1"/>
    <col min="174" max="191" width="10.09765625" hidden="1" customWidth="1" outlineLevel="1"/>
    <col min="192" max="192" width="10.09765625" bestFit="1" customWidth="1" collapsed="1"/>
    <col min="193" max="210" width="10.09765625" hidden="1" customWidth="1" outlineLevel="1"/>
    <col min="211" max="211" width="10.09765625" bestFit="1" customWidth="1" collapsed="1"/>
    <col min="212" max="229" width="10.09765625" hidden="1" customWidth="1" outlineLevel="1"/>
    <col min="230" max="230" width="10.09765625" bestFit="1" customWidth="1" collapsed="1"/>
  </cols>
  <sheetData>
    <row r="1" spans="1:249" x14ac:dyDescent="0.4">
      <c r="C1" t="s">
        <v>72</v>
      </c>
      <c r="U1" s="4" t="s">
        <v>72</v>
      </c>
      <c r="V1" t="s">
        <v>73</v>
      </c>
      <c r="AN1" s="4" t="s">
        <v>73</v>
      </c>
      <c r="AO1" t="s">
        <v>71</v>
      </c>
      <c r="BG1" s="4" t="s">
        <v>71</v>
      </c>
      <c r="BH1" t="s">
        <v>74</v>
      </c>
      <c r="BZ1" s="4" t="s">
        <v>74</v>
      </c>
      <c r="CA1" t="s">
        <v>75</v>
      </c>
      <c r="CS1" s="4" t="s">
        <v>75</v>
      </c>
      <c r="CT1" t="s">
        <v>76</v>
      </c>
      <c r="DL1" s="4" t="s">
        <v>76</v>
      </c>
      <c r="DM1" t="s">
        <v>77</v>
      </c>
      <c r="EE1" s="4" t="s">
        <v>77</v>
      </c>
      <c r="EF1" t="s">
        <v>78</v>
      </c>
      <c r="EX1" s="4" t="s">
        <v>78</v>
      </c>
      <c r="EY1" t="s">
        <v>79</v>
      </c>
      <c r="FQ1" s="4" t="s">
        <v>79</v>
      </c>
      <c r="FR1" t="s">
        <v>80</v>
      </c>
      <c r="GJ1" s="4" t="s">
        <v>80</v>
      </c>
      <c r="GK1" t="s">
        <v>81</v>
      </c>
      <c r="HC1" s="4" t="s">
        <v>81</v>
      </c>
      <c r="HD1" t="s">
        <v>82</v>
      </c>
      <c r="HV1" s="4" t="s">
        <v>82</v>
      </c>
    </row>
    <row r="2" spans="1:249" x14ac:dyDescent="0.4">
      <c r="A2" t="s">
        <v>42</v>
      </c>
      <c r="B2" s="3" t="s">
        <v>70</v>
      </c>
      <c r="C2" t="s">
        <v>63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s="5" t="s">
        <v>85</v>
      </c>
      <c r="V2" t="s">
        <v>63</v>
      </c>
      <c r="W2" t="s">
        <v>52</v>
      </c>
      <c r="X2" t="s">
        <v>53</v>
      </c>
      <c r="Y2" t="s">
        <v>54</v>
      </c>
      <c r="Z2" t="s">
        <v>55</v>
      </c>
      <c r="AA2" t="s">
        <v>56</v>
      </c>
      <c r="AB2" t="s">
        <v>57</v>
      </c>
      <c r="AC2" t="s">
        <v>58</v>
      </c>
      <c r="AD2" t="s">
        <v>59</v>
      </c>
      <c r="AE2" t="s">
        <v>60</v>
      </c>
      <c r="AF2" t="s">
        <v>61</v>
      </c>
      <c r="AG2" t="s">
        <v>62</v>
      </c>
      <c r="AH2" t="s">
        <v>64</v>
      </c>
      <c r="AI2" t="s">
        <v>65</v>
      </c>
      <c r="AJ2" t="s">
        <v>66</v>
      </c>
      <c r="AK2" t="s">
        <v>67</v>
      </c>
      <c r="AL2" t="s">
        <v>68</v>
      </c>
      <c r="AM2" t="s">
        <v>69</v>
      </c>
      <c r="AN2" s="5" t="s">
        <v>85</v>
      </c>
      <c r="AO2" t="s">
        <v>63</v>
      </c>
      <c r="AP2" t="s">
        <v>52</v>
      </c>
      <c r="AQ2" t="s">
        <v>53</v>
      </c>
      <c r="AR2" t="s">
        <v>54</v>
      </c>
      <c r="AS2" t="s">
        <v>55</v>
      </c>
      <c r="AT2" t="s">
        <v>56</v>
      </c>
      <c r="AU2" t="s">
        <v>57</v>
      </c>
      <c r="AV2" t="s">
        <v>58</v>
      </c>
      <c r="AW2" t="s">
        <v>59</v>
      </c>
      <c r="AX2" t="s">
        <v>60</v>
      </c>
      <c r="AY2" t="s">
        <v>61</v>
      </c>
      <c r="AZ2" t="s">
        <v>62</v>
      </c>
      <c r="BA2" t="s">
        <v>64</v>
      </c>
      <c r="BB2" t="s">
        <v>65</v>
      </c>
      <c r="BC2" t="s">
        <v>66</v>
      </c>
      <c r="BD2" t="s">
        <v>67</v>
      </c>
      <c r="BE2" t="s">
        <v>68</v>
      </c>
      <c r="BF2" t="s">
        <v>69</v>
      </c>
      <c r="BG2" s="5" t="s">
        <v>85</v>
      </c>
      <c r="BH2" t="s">
        <v>63</v>
      </c>
      <c r="BI2" t="s">
        <v>52</v>
      </c>
      <c r="BJ2" t="s">
        <v>53</v>
      </c>
      <c r="BK2" t="s">
        <v>54</v>
      </c>
      <c r="BL2" t="s">
        <v>55</v>
      </c>
      <c r="BM2" t="s">
        <v>56</v>
      </c>
      <c r="BN2" t="s">
        <v>57</v>
      </c>
      <c r="BO2" t="s">
        <v>58</v>
      </c>
      <c r="BP2" t="s">
        <v>59</v>
      </c>
      <c r="BQ2" t="s">
        <v>60</v>
      </c>
      <c r="BR2" t="s">
        <v>61</v>
      </c>
      <c r="BS2" t="s">
        <v>62</v>
      </c>
      <c r="BT2" t="s">
        <v>64</v>
      </c>
      <c r="BU2" t="s">
        <v>65</v>
      </c>
      <c r="BV2" t="s">
        <v>66</v>
      </c>
      <c r="BW2" t="s">
        <v>67</v>
      </c>
      <c r="BX2" t="s">
        <v>68</v>
      </c>
      <c r="BY2" t="s">
        <v>69</v>
      </c>
      <c r="BZ2" s="5" t="s">
        <v>85</v>
      </c>
      <c r="CA2" t="s">
        <v>63</v>
      </c>
      <c r="CB2" t="s">
        <v>52</v>
      </c>
      <c r="CC2" t="s">
        <v>53</v>
      </c>
      <c r="CD2" t="s">
        <v>54</v>
      </c>
      <c r="CE2" t="s">
        <v>55</v>
      </c>
      <c r="CF2" t="s">
        <v>56</v>
      </c>
      <c r="CG2" t="s">
        <v>57</v>
      </c>
      <c r="CH2" t="s">
        <v>58</v>
      </c>
      <c r="CI2" t="s">
        <v>59</v>
      </c>
      <c r="CJ2" t="s">
        <v>60</v>
      </c>
      <c r="CK2" t="s">
        <v>61</v>
      </c>
      <c r="CL2" t="s">
        <v>62</v>
      </c>
      <c r="CM2" t="s">
        <v>64</v>
      </c>
      <c r="CN2" t="s">
        <v>65</v>
      </c>
      <c r="CO2" t="s">
        <v>66</v>
      </c>
      <c r="CP2" t="s">
        <v>67</v>
      </c>
      <c r="CQ2" t="s">
        <v>68</v>
      </c>
      <c r="CR2" t="s">
        <v>69</v>
      </c>
      <c r="CS2" s="5" t="s">
        <v>85</v>
      </c>
      <c r="CT2" t="s">
        <v>63</v>
      </c>
      <c r="CU2" t="s">
        <v>52</v>
      </c>
      <c r="CV2" t="s">
        <v>53</v>
      </c>
      <c r="CW2" t="s">
        <v>54</v>
      </c>
      <c r="CX2" t="s">
        <v>55</v>
      </c>
      <c r="CY2" t="s">
        <v>56</v>
      </c>
      <c r="CZ2" t="s">
        <v>57</v>
      </c>
      <c r="DA2" t="s">
        <v>58</v>
      </c>
      <c r="DB2" t="s">
        <v>59</v>
      </c>
      <c r="DC2" t="s">
        <v>60</v>
      </c>
      <c r="DD2" t="s">
        <v>61</v>
      </c>
      <c r="DE2" t="s">
        <v>62</v>
      </c>
      <c r="DF2" t="s">
        <v>64</v>
      </c>
      <c r="DG2" t="s">
        <v>65</v>
      </c>
      <c r="DH2" t="s">
        <v>66</v>
      </c>
      <c r="DI2" t="s">
        <v>67</v>
      </c>
      <c r="DJ2" t="s">
        <v>68</v>
      </c>
      <c r="DK2" t="s">
        <v>69</v>
      </c>
      <c r="DL2" s="5" t="s">
        <v>85</v>
      </c>
      <c r="DM2" t="s">
        <v>63</v>
      </c>
      <c r="DN2" t="s">
        <v>52</v>
      </c>
      <c r="DO2" t="s">
        <v>53</v>
      </c>
      <c r="DP2" t="s">
        <v>54</v>
      </c>
      <c r="DQ2" t="s">
        <v>55</v>
      </c>
      <c r="DR2" t="s">
        <v>56</v>
      </c>
      <c r="DS2" t="s">
        <v>57</v>
      </c>
      <c r="DT2" t="s">
        <v>58</v>
      </c>
      <c r="DU2" t="s">
        <v>59</v>
      </c>
      <c r="DV2" t="s">
        <v>60</v>
      </c>
      <c r="DW2" t="s">
        <v>61</v>
      </c>
      <c r="DX2" t="s">
        <v>62</v>
      </c>
      <c r="DY2" t="s">
        <v>64</v>
      </c>
      <c r="DZ2" t="s">
        <v>65</v>
      </c>
      <c r="EA2" t="s">
        <v>66</v>
      </c>
      <c r="EB2" t="s">
        <v>67</v>
      </c>
      <c r="EC2" t="s">
        <v>68</v>
      </c>
      <c r="ED2" t="s">
        <v>69</v>
      </c>
      <c r="EE2" s="5" t="s">
        <v>85</v>
      </c>
      <c r="EF2" t="s">
        <v>63</v>
      </c>
      <c r="EG2" t="s">
        <v>52</v>
      </c>
      <c r="EH2" t="s">
        <v>53</v>
      </c>
      <c r="EI2" t="s">
        <v>54</v>
      </c>
      <c r="EJ2" t="s">
        <v>55</v>
      </c>
      <c r="EK2" t="s">
        <v>56</v>
      </c>
      <c r="EL2" t="s">
        <v>57</v>
      </c>
      <c r="EM2" t="s">
        <v>58</v>
      </c>
      <c r="EN2" t="s">
        <v>59</v>
      </c>
      <c r="EO2" t="s">
        <v>60</v>
      </c>
      <c r="EP2" t="s">
        <v>61</v>
      </c>
      <c r="EQ2" t="s">
        <v>62</v>
      </c>
      <c r="ER2" t="s">
        <v>64</v>
      </c>
      <c r="ES2" t="s">
        <v>65</v>
      </c>
      <c r="ET2" t="s">
        <v>66</v>
      </c>
      <c r="EU2" t="s">
        <v>67</v>
      </c>
      <c r="EV2" t="s">
        <v>68</v>
      </c>
      <c r="EW2" t="s">
        <v>69</v>
      </c>
      <c r="EX2" s="5" t="s">
        <v>85</v>
      </c>
      <c r="EY2" t="s">
        <v>63</v>
      </c>
      <c r="EZ2" t="s">
        <v>52</v>
      </c>
      <c r="FA2" t="s">
        <v>53</v>
      </c>
      <c r="FB2" t="s">
        <v>54</v>
      </c>
      <c r="FC2" t="s">
        <v>55</v>
      </c>
      <c r="FD2" t="s">
        <v>56</v>
      </c>
      <c r="FE2" t="s">
        <v>57</v>
      </c>
      <c r="FF2" t="s">
        <v>58</v>
      </c>
      <c r="FG2" t="s">
        <v>59</v>
      </c>
      <c r="FH2" t="s">
        <v>60</v>
      </c>
      <c r="FI2" t="s">
        <v>61</v>
      </c>
      <c r="FJ2" t="s">
        <v>62</v>
      </c>
      <c r="FK2" t="s">
        <v>64</v>
      </c>
      <c r="FL2" t="s">
        <v>65</v>
      </c>
      <c r="FM2" t="s">
        <v>66</v>
      </c>
      <c r="FN2" t="s">
        <v>67</v>
      </c>
      <c r="FO2" t="s">
        <v>68</v>
      </c>
      <c r="FP2" t="s">
        <v>69</v>
      </c>
      <c r="FQ2" s="5" t="s">
        <v>85</v>
      </c>
      <c r="FR2" t="s">
        <v>63</v>
      </c>
      <c r="FS2" t="s">
        <v>52</v>
      </c>
      <c r="FT2" t="s">
        <v>53</v>
      </c>
      <c r="FU2" t="s">
        <v>54</v>
      </c>
      <c r="FV2" t="s">
        <v>55</v>
      </c>
      <c r="FW2" t="s">
        <v>56</v>
      </c>
      <c r="FX2" t="s">
        <v>57</v>
      </c>
      <c r="FY2" t="s">
        <v>58</v>
      </c>
      <c r="FZ2" t="s">
        <v>59</v>
      </c>
      <c r="GA2" t="s">
        <v>60</v>
      </c>
      <c r="GB2" t="s">
        <v>61</v>
      </c>
      <c r="GC2" t="s">
        <v>62</v>
      </c>
      <c r="GD2" t="s">
        <v>64</v>
      </c>
      <c r="GE2" t="s">
        <v>65</v>
      </c>
      <c r="GF2" t="s">
        <v>66</v>
      </c>
      <c r="GG2" t="s">
        <v>67</v>
      </c>
      <c r="GH2" t="s">
        <v>68</v>
      </c>
      <c r="GI2" t="s">
        <v>69</v>
      </c>
      <c r="GJ2" s="5" t="s">
        <v>85</v>
      </c>
      <c r="GK2" t="s">
        <v>63</v>
      </c>
      <c r="GL2" t="s">
        <v>52</v>
      </c>
      <c r="GM2" t="s">
        <v>53</v>
      </c>
      <c r="GN2" t="s">
        <v>54</v>
      </c>
      <c r="GO2" t="s">
        <v>55</v>
      </c>
      <c r="GP2" t="s">
        <v>56</v>
      </c>
      <c r="GQ2" t="s">
        <v>57</v>
      </c>
      <c r="GR2" t="s">
        <v>58</v>
      </c>
      <c r="GS2" t="s">
        <v>59</v>
      </c>
      <c r="GT2" t="s">
        <v>60</v>
      </c>
      <c r="GU2" t="s">
        <v>61</v>
      </c>
      <c r="GV2" t="s">
        <v>62</v>
      </c>
      <c r="GW2" t="s">
        <v>64</v>
      </c>
      <c r="GX2" t="s">
        <v>65</v>
      </c>
      <c r="GY2" t="s">
        <v>66</v>
      </c>
      <c r="GZ2" t="s">
        <v>67</v>
      </c>
      <c r="HA2" t="s">
        <v>68</v>
      </c>
      <c r="HB2" t="s">
        <v>69</v>
      </c>
      <c r="HC2" s="5" t="s">
        <v>85</v>
      </c>
      <c r="HD2" t="s">
        <v>63</v>
      </c>
      <c r="HE2" t="s">
        <v>52</v>
      </c>
      <c r="HF2" t="s">
        <v>53</v>
      </c>
      <c r="HG2" t="s">
        <v>54</v>
      </c>
      <c r="HH2" t="s">
        <v>55</v>
      </c>
      <c r="HI2" t="s">
        <v>56</v>
      </c>
      <c r="HJ2" t="s">
        <v>57</v>
      </c>
      <c r="HK2" t="s">
        <v>58</v>
      </c>
      <c r="HL2" t="s">
        <v>59</v>
      </c>
      <c r="HM2" t="s">
        <v>60</v>
      </c>
      <c r="HN2" t="s">
        <v>61</v>
      </c>
      <c r="HO2" t="s">
        <v>62</v>
      </c>
      <c r="HP2" t="s">
        <v>64</v>
      </c>
      <c r="HQ2" t="s">
        <v>65</v>
      </c>
      <c r="HR2" t="s">
        <v>66</v>
      </c>
      <c r="HS2" t="s">
        <v>67</v>
      </c>
      <c r="HT2" t="s">
        <v>68</v>
      </c>
      <c r="HU2" t="s">
        <v>69</v>
      </c>
      <c r="HV2" s="5" t="s">
        <v>85</v>
      </c>
    </row>
    <row r="3" spans="1:249" s="6" customFormat="1" hidden="1" x14ac:dyDescent="0.4">
      <c r="A3" s="6" t="s">
        <v>49</v>
      </c>
      <c r="B3" s="6" t="s">
        <v>95</v>
      </c>
      <c r="C3" s="8">
        <v>10525.843137254902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5">
        <v>10525.843137254902</v>
      </c>
      <c r="V3" s="8">
        <v>10739.953488372093</v>
      </c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5">
        <v>10739.953488372093</v>
      </c>
      <c r="AO3" s="8">
        <v>71856.75</v>
      </c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5">
        <v>71856.75</v>
      </c>
      <c r="BH3" s="8">
        <v>32764.454545454544</v>
      </c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5">
        <v>32764.454545454544</v>
      </c>
      <c r="CA3" s="8">
        <v>21789.473684210527</v>
      </c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5">
        <v>21789.473684210527</v>
      </c>
      <c r="CT3" s="8">
        <v>38513.82608695652</v>
      </c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5">
        <v>38513.82608695652</v>
      </c>
      <c r="DM3" s="8">
        <v>24790.9</v>
      </c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5">
        <v>24790.9</v>
      </c>
      <c r="EF3" s="8">
        <v>81818</v>
      </c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5">
        <v>81818</v>
      </c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5"/>
      <c r="FR3" s="8">
        <v>115000</v>
      </c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5">
        <v>115000</v>
      </c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5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5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</row>
    <row r="4" spans="1:249" hidden="1" x14ac:dyDescent="0.4">
      <c r="A4" t="s">
        <v>49</v>
      </c>
      <c r="B4" t="s">
        <v>93</v>
      </c>
      <c r="C4" s="2"/>
      <c r="D4" s="2"/>
      <c r="E4" s="2"/>
      <c r="F4" s="2">
        <v>254540.30555555556</v>
      </c>
      <c r="G4" s="2">
        <v>216763.8</v>
      </c>
      <c r="H4" s="2">
        <v>166933.43902439025</v>
      </c>
      <c r="I4" s="2"/>
      <c r="J4" s="2"/>
      <c r="K4" s="2"/>
      <c r="L4" s="2">
        <v>146083.33333333334</v>
      </c>
      <c r="M4" s="2"/>
      <c r="N4" s="2">
        <v>172274.44444444444</v>
      </c>
      <c r="O4" s="2">
        <v>220000</v>
      </c>
      <c r="P4" s="2"/>
      <c r="Q4" s="2"/>
      <c r="R4" s="2"/>
      <c r="S4" s="2"/>
      <c r="T4" s="2">
        <v>180000</v>
      </c>
      <c r="U4" s="5">
        <v>193799.33176538907</v>
      </c>
      <c r="V4" s="2"/>
      <c r="W4" s="2"/>
      <c r="X4" s="2"/>
      <c r="Y4" s="2">
        <v>264219.14705882355</v>
      </c>
      <c r="Z4" s="2">
        <v>191909.5</v>
      </c>
      <c r="AA4" s="2">
        <v>245267.35294117648</v>
      </c>
      <c r="AB4" s="2"/>
      <c r="AC4" s="2"/>
      <c r="AD4" s="2"/>
      <c r="AE4" s="2"/>
      <c r="AF4" s="2"/>
      <c r="AG4" s="2">
        <v>148102.5</v>
      </c>
      <c r="AH4" s="2"/>
      <c r="AI4" s="2">
        <v>200000</v>
      </c>
      <c r="AJ4" s="2"/>
      <c r="AK4" s="2"/>
      <c r="AL4" s="2"/>
      <c r="AM4" s="2"/>
      <c r="AN4" s="5">
        <v>209899.7</v>
      </c>
      <c r="AO4" s="2"/>
      <c r="AP4" s="2"/>
      <c r="AQ4" s="2">
        <v>240000</v>
      </c>
      <c r="AR4" s="2">
        <v>249827.65789473685</v>
      </c>
      <c r="AS4" s="2">
        <v>125113.75</v>
      </c>
      <c r="AT4" s="2">
        <v>143333.33333333334</v>
      </c>
      <c r="AU4" s="2"/>
      <c r="AV4" s="2"/>
      <c r="AW4" s="2"/>
      <c r="AX4" s="2"/>
      <c r="AY4" s="2"/>
      <c r="AZ4" s="2">
        <v>148102.5</v>
      </c>
      <c r="BA4" s="2">
        <v>120000</v>
      </c>
      <c r="BB4" s="2"/>
      <c r="BC4" s="2"/>
      <c r="BD4" s="2">
        <v>100000</v>
      </c>
      <c r="BE4" s="2"/>
      <c r="BF4" s="2"/>
      <c r="BG4" s="5">
        <v>160911.03446115289</v>
      </c>
      <c r="BH4" s="2"/>
      <c r="BI4" s="2"/>
      <c r="BJ4" s="2"/>
      <c r="BK4" s="2">
        <v>258955.74285714285</v>
      </c>
      <c r="BL4" s="2">
        <v>85000</v>
      </c>
      <c r="BM4" s="2">
        <v>102978.72340425532</v>
      </c>
      <c r="BN4" s="2">
        <v>180000</v>
      </c>
      <c r="BO4" s="2"/>
      <c r="BP4" s="2"/>
      <c r="BQ4" s="2">
        <v>137500</v>
      </c>
      <c r="BR4" s="2"/>
      <c r="BS4" s="2">
        <v>160547.0588235294</v>
      </c>
      <c r="BT4" s="2"/>
      <c r="BU4" s="2"/>
      <c r="BV4" s="2"/>
      <c r="BW4" s="2">
        <v>100000</v>
      </c>
      <c r="BX4" s="2"/>
      <c r="BY4" s="2"/>
      <c r="BZ4" s="5">
        <v>146425.93215498966</v>
      </c>
      <c r="CA4" s="2"/>
      <c r="CB4" s="2"/>
      <c r="CC4" s="2"/>
      <c r="CD4" s="2">
        <v>258955.74285714285</v>
      </c>
      <c r="CE4" s="2"/>
      <c r="CF4" s="2">
        <v>90000</v>
      </c>
      <c r="CG4" s="2">
        <v>196250</v>
      </c>
      <c r="CH4" s="2">
        <v>81818</v>
      </c>
      <c r="CI4" s="2"/>
      <c r="CJ4" s="2"/>
      <c r="CK4" s="2"/>
      <c r="CL4" s="2">
        <v>148102.5</v>
      </c>
      <c r="CM4" s="2"/>
      <c r="CN4" s="2"/>
      <c r="CO4" s="2"/>
      <c r="CP4" s="2">
        <v>105000</v>
      </c>
      <c r="CQ4" s="2"/>
      <c r="CR4" s="2"/>
      <c r="CS4" s="5">
        <v>146687.70714285714</v>
      </c>
      <c r="CT4" s="2"/>
      <c r="CU4" s="2"/>
      <c r="CV4" s="2"/>
      <c r="CW4" s="2">
        <v>262384.3142857143</v>
      </c>
      <c r="CX4" s="2"/>
      <c r="CY4" s="2">
        <v>201000</v>
      </c>
      <c r="CZ4" s="2">
        <v>180000</v>
      </c>
      <c r="DA4" s="2"/>
      <c r="DB4" s="2"/>
      <c r="DC4" s="2">
        <v>70000</v>
      </c>
      <c r="DD4" s="2"/>
      <c r="DE4" s="2">
        <v>148102.5</v>
      </c>
      <c r="DF4" s="2">
        <v>250000</v>
      </c>
      <c r="DG4" s="2">
        <v>150000</v>
      </c>
      <c r="DH4" s="2"/>
      <c r="DI4" s="2">
        <v>105000</v>
      </c>
      <c r="DJ4" s="2"/>
      <c r="DK4" s="2"/>
      <c r="DL4" s="5">
        <v>170810.85178571427</v>
      </c>
      <c r="DM4" s="2"/>
      <c r="DN4" s="2"/>
      <c r="DO4" s="2"/>
      <c r="DP4" s="2">
        <v>510779.4</v>
      </c>
      <c r="DQ4" s="2"/>
      <c r="DR4" s="2">
        <v>135000</v>
      </c>
      <c r="DS4" s="2">
        <v>160000</v>
      </c>
      <c r="DT4" s="2"/>
      <c r="DU4" s="2"/>
      <c r="DV4" s="2"/>
      <c r="DW4" s="2"/>
      <c r="DX4" s="2">
        <v>148102.5</v>
      </c>
      <c r="DY4" s="2">
        <v>250000</v>
      </c>
      <c r="DZ4" s="2"/>
      <c r="EA4" s="2"/>
      <c r="EB4" s="2">
        <v>105000</v>
      </c>
      <c r="EC4" s="2"/>
      <c r="ED4" s="2"/>
      <c r="EE4" s="5">
        <v>218146.98333333331</v>
      </c>
      <c r="EF4" s="2"/>
      <c r="EG4" s="2"/>
      <c r="EH4" s="2"/>
      <c r="EI4" s="2">
        <v>508592.73333333334</v>
      </c>
      <c r="EJ4" s="2"/>
      <c r="EK4" s="2">
        <v>122803</v>
      </c>
      <c r="EL4" s="2"/>
      <c r="EM4" s="2">
        <v>105000</v>
      </c>
      <c r="EN4" s="2"/>
      <c r="EO4" s="2">
        <v>210000</v>
      </c>
      <c r="EP4" s="2"/>
      <c r="EQ4" s="2">
        <v>148102.5</v>
      </c>
      <c r="ER4" s="2"/>
      <c r="ES4" s="2"/>
      <c r="ET4" s="2"/>
      <c r="EU4" s="2">
        <v>105000</v>
      </c>
      <c r="EV4" s="2"/>
      <c r="EW4" s="2"/>
      <c r="EX4" s="5">
        <v>199916.37222222224</v>
      </c>
      <c r="EY4" s="2"/>
      <c r="EZ4" s="2"/>
      <c r="FA4" s="2"/>
      <c r="FB4" s="2">
        <v>531563.64285714284</v>
      </c>
      <c r="FC4" s="2">
        <v>195000</v>
      </c>
      <c r="FD4" s="2">
        <v>171666.66666666666</v>
      </c>
      <c r="FE4" s="2"/>
      <c r="FF4" s="2">
        <v>81818</v>
      </c>
      <c r="FG4" s="2"/>
      <c r="FH4" s="2"/>
      <c r="FI4" s="2"/>
      <c r="FJ4" s="2">
        <v>163201.42857142858</v>
      </c>
      <c r="FK4" s="2"/>
      <c r="FL4" s="2"/>
      <c r="FM4" s="2"/>
      <c r="FN4" s="2"/>
      <c r="FO4" s="2"/>
      <c r="FP4" s="2"/>
      <c r="FQ4" s="5">
        <v>228649.94761904763</v>
      </c>
      <c r="FR4" s="2"/>
      <c r="FS4" s="2"/>
      <c r="FT4" s="2"/>
      <c r="FU4" s="2">
        <v>378125.69565217389</v>
      </c>
      <c r="FV4" s="2">
        <v>172727.2</v>
      </c>
      <c r="FW4" s="2">
        <v>160384.79999999999</v>
      </c>
      <c r="FX4" s="2"/>
      <c r="FY4" s="2">
        <v>92212.1</v>
      </c>
      <c r="FZ4" s="2"/>
      <c r="GA4" s="2">
        <v>93090.963636363638</v>
      </c>
      <c r="GB4" s="2"/>
      <c r="GC4" s="2">
        <v>219031.53846153847</v>
      </c>
      <c r="GD4" s="2"/>
      <c r="GE4" s="2">
        <v>143750</v>
      </c>
      <c r="GF4" s="2"/>
      <c r="GG4" s="2"/>
      <c r="GH4" s="2"/>
      <c r="GI4" s="2"/>
      <c r="GJ4" s="5">
        <v>179903.18539286798</v>
      </c>
      <c r="GK4" s="2"/>
      <c r="GL4" s="2"/>
      <c r="GM4" s="2"/>
      <c r="GN4" s="2">
        <v>470430.6875</v>
      </c>
      <c r="GO4" s="2">
        <v>190000</v>
      </c>
      <c r="GP4" s="2">
        <v>137323.22222222222</v>
      </c>
      <c r="GQ4" s="2"/>
      <c r="GR4" s="2">
        <v>103939.33333333333</v>
      </c>
      <c r="GS4" s="2"/>
      <c r="GT4" s="2">
        <v>99875.506849315076</v>
      </c>
      <c r="GU4" s="2"/>
      <c r="GV4" s="2">
        <v>147068.33333333334</v>
      </c>
      <c r="GW4" s="2"/>
      <c r="GX4" s="2">
        <v>113787.66666666667</v>
      </c>
      <c r="GY4" s="2">
        <v>220000</v>
      </c>
      <c r="GZ4" s="2"/>
      <c r="HA4" s="2">
        <v>112987</v>
      </c>
      <c r="HB4" s="2">
        <v>78000</v>
      </c>
      <c r="HC4" s="5">
        <v>167341.17499048708</v>
      </c>
      <c r="HD4" s="2"/>
      <c r="HE4" s="2"/>
      <c r="HF4" s="2"/>
      <c r="HG4" s="2">
        <v>168068.25</v>
      </c>
      <c r="HH4" s="2">
        <v>172500</v>
      </c>
      <c r="HI4" s="2">
        <v>143454.39999999999</v>
      </c>
      <c r="HJ4" s="2"/>
      <c r="HK4" s="2">
        <v>115000</v>
      </c>
      <c r="HL4" s="2"/>
      <c r="HM4" s="2"/>
      <c r="HN4" s="2">
        <v>150000</v>
      </c>
      <c r="HO4" s="2">
        <v>216666.66666666666</v>
      </c>
      <c r="HP4" s="2"/>
      <c r="HQ4" s="2">
        <v>107272.6</v>
      </c>
      <c r="HR4" s="2"/>
      <c r="HS4" s="2">
        <v>80000</v>
      </c>
      <c r="HT4" s="2"/>
      <c r="HU4" s="2">
        <v>85750</v>
      </c>
      <c r="HV4" s="5">
        <v>143254.51428571428</v>
      </c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</row>
    <row r="5" spans="1:249" hidden="1" x14ac:dyDescent="0.4">
      <c r="A5" t="s">
        <v>49</v>
      </c>
      <c r="B5" t="s">
        <v>94</v>
      </c>
      <c r="C5" s="2"/>
      <c r="D5" s="2"/>
      <c r="E5" s="2"/>
      <c r="F5" s="2">
        <v>16277.41935483871</v>
      </c>
      <c r="G5" s="2">
        <v>12000</v>
      </c>
      <c r="H5" s="2">
        <v>31000</v>
      </c>
      <c r="I5" s="2">
        <v>16000</v>
      </c>
      <c r="J5" s="2">
        <v>18751.352941176472</v>
      </c>
      <c r="K5" s="2"/>
      <c r="L5" s="2">
        <v>90285.71428571429</v>
      </c>
      <c r="M5" s="2">
        <v>64300</v>
      </c>
      <c r="N5" s="2">
        <v>260000</v>
      </c>
      <c r="O5" s="2">
        <v>16063.636363636364</v>
      </c>
      <c r="P5" s="2">
        <v>24000</v>
      </c>
      <c r="Q5" s="2"/>
      <c r="R5" s="2"/>
      <c r="S5" s="2"/>
      <c r="T5" s="2">
        <v>36000</v>
      </c>
      <c r="U5" s="5">
        <v>53152.556631396896</v>
      </c>
      <c r="V5" s="2"/>
      <c r="W5" s="2"/>
      <c r="X5" s="2"/>
      <c r="Y5" s="2">
        <v>17100</v>
      </c>
      <c r="Z5" s="2"/>
      <c r="AA5" s="2"/>
      <c r="AB5" s="2">
        <v>16000</v>
      </c>
      <c r="AC5" s="2">
        <v>16704.5625</v>
      </c>
      <c r="AD5" s="2">
        <v>103400</v>
      </c>
      <c r="AE5" s="2">
        <v>85454</v>
      </c>
      <c r="AF5" s="2">
        <v>64300</v>
      </c>
      <c r="AG5" s="2">
        <v>114000</v>
      </c>
      <c r="AH5" s="2">
        <v>16063.636363636364</v>
      </c>
      <c r="AI5" s="2"/>
      <c r="AJ5" s="2"/>
      <c r="AK5" s="2">
        <v>95854</v>
      </c>
      <c r="AL5" s="2"/>
      <c r="AM5" s="2">
        <v>24000</v>
      </c>
      <c r="AN5" s="5">
        <v>55287.619886363638</v>
      </c>
      <c r="AO5" s="2"/>
      <c r="AP5" s="2"/>
      <c r="AQ5" s="2"/>
      <c r="AR5" s="2">
        <v>21428.058823529413</v>
      </c>
      <c r="AS5" s="2">
        <v>17484.21052631579</v>
      </c>
      <c r="AT5" s="2"/>
      <c r="AU5" s="2">
        <v>16000</v>
      </c>
      <c r="AV5" s="2">
        <v>16704.5625</v>
      </c>
      <c r="AW5" s="2">
        <v>181818</v>
      </c>
      <c r="AX5" s="2"/>
      <c r="AY5" s="2">
        <v>50866.666666666664</v>
      </c>
      <c r="AZ5" s="2"/>
      <c r="BA5" s="2">
        <v>212600</v>
      </c>
      <c r="BB5" s="2"/>
      <c r="BC5" s="2"/>
      <c r="BD5" s="2">
        <v>110000</v>
      </c>
      <c r="BE5" s="2"/>
      <c r="BF5" s="2">
        <v>24000</v>
      </c>
      <c r="BG5" s="5">
        <v>72322.388724056873</v>
      </c>
      <c r="BH5" s="2"/>
      <c r="BI5" s="2"/>
      <c r="BJ5" s="2"/>
      <c r="BK5" s="2">
        <v>55233.333333333336</v>
      </c>
      <c r="BL5" s="2">
        <v>87509</v>
      </c>
      <c r="BM5" s="2">
        <v>91920</v>
      </c>
      <c r="BN5" s="2"/>
      <c r="BO5" s="2">
        <v>16704.5625</v>
      </c>
      <c r="BP5" s="2"/>
      <c r="BQ5" s="2">
        <v>33000</v>
      </c>
      <c r="BR5" s="2">
        <v>97316.666666666672</v>
      </c>
      <c r="BS5" s="2"/>
      <c r="BT5" s="2">
        <v>62135.6</v>
      </c>
      <c r="BU5" s="2"/>
      <c r="BV5" s="2">
        <v>100000</v>
      </c>
      <c r="BW5" s="2">
        <v>179000</v>
      </c>
      <c r="BX5" s="2"/>
      <c r="BY5" s="2">
        <v>27000</v>
      </c>
      <c r="BZ5" s="5">
        <v>74981.916250000009</v>
      </c>
      <c r="CA5" s="2"/>
      <c r="CB5" s="2"/>
      <c r="CC5" s="2"/>
      <c r="CD5" s="2">
        <v>55233.333333333336</v>
      </c>
      <c r="CE5" s="2">
        <v>57678</v>
      </c>
      <c r="CF5" s="2">
        <v>62733.333333333336</v>
      </c>
      <c r="CG5" s="2">
        <v>27000</v>
      </c>
      <c r="CH5" s="2">
        <v>19275.342857142856</v>
      </c>
      <c r="CI5" s="2"/>
      <c r="CJ5" s="2"/>
      <c r="CK5" s="2">
        <v>30942.857142857141</v>
      </c>
      <c r="CL5" s="2"/>
      <c r="CM5" s="2">
        <v>60892.666666666664</v>
      </c>
      <c r="CN5" s="2">
        <v>94000</v>
      </c>
      <c r="CO5" s="2">
        <v>100000</v>
      </c>
      <c r="CP5" s="2">
        <v>79190.476190476184</v>
      </c>
      <c r="CQ5" s="2"/>
      <c r="CR5" s="2">
        <v>21500</v>
      </c>
      <c r="CS5" s="5">
        <v>55313.273593073594</v>
      </c>
      <c r="CT5" s="2"/>
      <c r="CU5" s="2"/>
      <c r="CV5" s="2"/>
      <c r="CW5" s="2">
        <v>64925</v>
      </c>
      <c r="CX5" s="2">
        <v>102382</v>
      </c>
      <c r="CY5" s="2">
        <v>33000</v>
      </c>
      <c r="CZ5" s="2">
        <v>53500</v>
      </c>
      <c r="DA5" s="2">
        <v>22822.973684210527</v>
      </c>
      <c r="DB5" s="2"/>
      <c r="DC5" s="2">
        <v>84600</v>
      </c>
      <c r="DD5" s="2">
        <v>35305.5</v>
      </c>
      <c r="DE5" s="2"/>
      <c r="DF5" s="2">
        <v>65295.6</v>
      </c>
      <c r="DG5" s="2">
        <v>98700</v>
      </c>
      <c r="DH5" s="2"/>
      <c r="DI5" s="2">
        <v>77000</v>
      </c>
      <c r="DJ5" s="2">
        <v>24546</v>
      </c>
      <c r="DK5" s="2">
        <v>21700</v>
      </c>
      <c r="DL5" s="5">
        <v>56981.422807017538</v>
      </c>
      <c r="DM5" s="2"/>
      <c r="DN5" s="2"/>
      <c r="DO5" s="2"/>
      <c r="DP5" s="2">
        <v>55233.333333333336</v>
      </c>
      <c r="DQ5" s="2">
        <v>94949.5</v>
      </c>
      <c r="DR5" s="2"/>
      <c r="DS5" s="2">
        <v>73333.333333333328</v>
      </c>
      <c r="DT5" s="2">
        <v>17190.090909090908</v>
      </c>
      <c r="DU5" s="2"/>
      <c r="DV5" s="2"/>
      <c r="DW5" s="2">
        <v>35305.5</v>
      </c>
      <c r="DX5" s="2">
        <v>45600</v>
      </c>
      <c r="DY5" s="2">
        <v>27955.571428571428</v>
      </c>
      <c r="DZ5" s="2">
        <v>48000</v>
      </c>
      <c r="EA5" s="2"/>
      <c r="EB5" s="2"/>
      <c r="EC5" s="2"/>
      <c r="ED5" s="2">
        <v>27000</v>
      </c>
      <c r="EE5" s="5">
        <v>47174.147667147663</v>
      </c>
      <c r="EF5" s="2"/>
      <c r="EG5" s="2"/>
      <c r="EH5" s="2"/>
      <c r="EI5" s="2">
        <v>55233.333333333336</v>
      </c>
      <c r="EJ5" s="2">
        <v>79900</v>
      </c>
      <c r="EK5" s="2"/>
      <c r="EL5" s="2">
        <v>73333.333333333328</v>
      </c>
      <c r="EM5" s="2">
        <v>17190.090909090908</v>
      </c>
      <c r="EN5" s="2"/>
      <c r="EO5" s="2">
        <v>18182</v>
      </c>
      <c r="EP5" s="2">
        <v>30070.588235294119</v>
      </c>
      <c r="EQ5" s="2">
        <v>45600</v>
      </c>
      <c r="ER5" s="2">
        <v>50000</v>
      </c>
      <c r="ES5" s="2"/>
      <c r="ET5" s="2"/>
      <c r="EU5" s="2"/>
      <c r="EV5" s="2"/>
      <c r="EW5" s="2"/>
      <c r="EX5" s="5">
        <v>46188.668226381466</v>
      </c>
      <c r="EY5" s="2"/>
      <c r="EZ5" s="2"/>
      <c r="FA5" s="2"/>
      <c r="FB5" s="2">
        <v>77237.888888888891</v>
      </c>
      <c r="FC5" s="2">
        <v>19684</v>
      </c>
      <c r="FD5" s="2"/>
      <c r="FE5" s="2">
        <v>73333.333333333328</v>
      </c>
      <c r="FF5" s="2">
        <v>17190.090909090908</v>
      </c>
      <c r="FG5" s="2"/>
      <c r="FH5" s="2">
        <v>103400</v>
      </c>
      <c r="FI5" s="2">
        <v>30666.666666666668</v>
      </c>
      <c r="FJ5" s="2">
        <v>40950</v>
      </c>
      <c r="FK5" s="2">
        <v>65000</v>
      </c>
      <c r="FL5" s="2"/>
      <c r="FM5" s="2"/>
      <c r="FN5" s="2"/>
      <c r="FO5" s="2"/>
      <c r="FP5" s="2"/>
      <c r="FQ5" s="5">
        <v>53432.747474747477</v>
      </c>
      <c r="FR5" s="2"/>
      <c r="FS5" s="2"/>
      <c r="FT5" s="2"/>
      <c r="FU5" s="2">
        <v>68757.142857142855</v>
      </c>
      <c r="FV5" s="2">
        <v>71605.771428571432</v>
      </c>
      <c r="FW5" s="2">
        <v>55366.666666666664</v>
      </c>
      <c r="FX5" s="2">
        <v>73333.333333333328</v>
      </c>
      <c r="FY5" s="2">
        <v>17190.090909090908</v>
      </c>
      <c r="FZ5" s="2"/>
      <c r="GA5" s="2">
        <v>100266.66666666667</v>
      </c>
      <c r="GB5" s="2">
        <v>30666.666666666668</v>
      </c>
      <c r="GC5" s="2">
        <v>22992.857142857141</v>
      </c>
      <c r="GD5" s="2">
        <v>47500</v>
      </c>
      <c r="GE5" s="2">
        <v>180000</v>
      </c>
      <c r="GF5" s="2"/>
      <c r="GG5" s="2"/>
      <c r="GH5" s="2"/>
      <c r="GI5" s="2">
        <v>24000</v>
      </c>
      <c r="GJ5" s="5">
        <v>62879.926879181417</v>
      </c>
      <c r="GK5" s="2"/>
      <c r="GL5" s="2"/>
      <c r="GM5" s="2"/>
      <c r="GN5" s="2">
        <v>41181.06</v>
      </c>
      <c r="GO5" s="2">
        <v>49389.2027027027</v>
      </c>
      <c r="GP5" s="2">
        <v>39092.307692307695</v>
      </c>
      <c r="GQ5" s="2">
        <v>50500</v>
      </c>
      <c r="GR5" s="2">
        <v>17949.205882352941</v>
      </c>
      <c r="GS5" s="2"/>
      <c r="GT5" s="2">
        <v>28675</v>
      </c>
      <c r="GU5" s="2">
        <v>71133.333333333328</v>
      </c>
      <c r="GV5" s="2">
        <v>14152.631578947368</v>
      </c>
      <c r="GW5" s="2">
        <v>25000</v>
      </c>
      <c r="GX5" s="2"/>
      <c r="GY5" s="2"/>
      <c r="GZ5" s="2"/>
      <c r="HA5" s="2"/>
      <c r="HB5" s="2">
        <v>64510.666666666664</v>
      </c>
      <c r="HC5" s="5">
        <v>40158.340785631073</v>
      </c>
      <c r="HD5" s="2"/>
      <c r="HE5" s="2"/>
      <c r="HF5" s="2">
        <v>210000</v>
      </c>
      <c r="HG5" s="2">
        <v>104882.89830508475</v>
      </c>
      <c r="HH5" s="2">
        <v>311052.0263157895</v>
      </c>
      <c r="HI5" s="2">
        <v>108900</v>
      </c>
      <c r="HJ5" s="2"/>
      <c r="HK5" s="2">
        <v>110000</v>
      </c>
      <c r="HL5" s="2"/>
      <c r="HM5" s="2"/>
      <c r="HN5" s="2">
        <v>178750</v>
      </c>
      <c r="HO5" s="2"/>
      <c r="HP5" s="2">
        <v>93333.333333333328</v>
      </c>
      <c r="HQ5" s="2">
        <v>150000</v>
      </c>
      <c r="HR5" s="2"/>
      <c r="HS5" s="2">
        <v>96666.666666666672</v>
      </c>
      <c r="HT5" s="2"/>
      <c r="HU5" s="2">
        <v>97202.769230769234</v>
      </c>
      <c r="HV5" s="5">
        <v>166161.97014925373</v>
      </c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</row>
    <row r="6" spans="1:249" s="6" customFormat="1" hidden="1" x14ac:dyDescent="0.4">
      <c r="A6" s="6" t="s">
        <v>49</v>
      </c>
      <c r="B6" s="6" t="s">
        <v>3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5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5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5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5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5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5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5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5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5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5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5"/>
      <c r="HD6" s="8">
        <v>0</v>
      </c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5">
        <v>0</v>
      </c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</row>
    <row r="7" spans="1:249" hidden="1" x14ac:dyDescent="0.4">
      <c r="A7" t="s">
        <v>49</v>
      </c>
      <c r="B7" t="s">
        <v>2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5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5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5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5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5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5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5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5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5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5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5"/>
      <c r="HD7" s="2"/>
      <c r="HE7" s="2">
        <v>0</v>
      </c>
      <c r="HF7" s="2">
        <v>0</v>
      </c>
      <c r="HG7" s="2" t="s">
        <v>105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5">
        <v>0</v>
      </c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</row>
    <row r="8" spans="1:249" hidden="1" x14ac:dyDescent="0.4">
      <c r="A8" t="s">
        <v>49</v>
      </c>
      <c r="B8" t="s">
        <v>9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5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5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5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5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5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5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5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5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5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5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5"/>
      <c r="HD8" s="2"/>
      <c r="HE8" s="2"/>
      <c r="HF8" s="2">
        <v>0</v>
      </c>
      <c r="HG8" s="2">
        <v>0</v>
      </c>
      <c r="HH8" s="2">
        <v>0</v>
      </c>
      <c r="HI8" s="2"/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/>
      <c r="HU8" s="2">
        <v>0</v>
      </c>
      <c r="HV8" s="5">
        <v>0</v>
      </c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</row>
    <row r="9" spans="1:249" s="6" customFormat="1" hidden="1" x14ac:dyDescent="0.4">
      <c r="A9" s="6" t="s">
        <v>49</v>
      </c>
      <c r="B9" s="6" t="s">
        <v>101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5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5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5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5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5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5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5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5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5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5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5"/>
      <c r="HD9" s="8">
        <v>0</v>
      </c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5">
        <v>0</v>
      </c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</row>
    <row r="10" spans="1:249" hidden="1" x14ac:dyDescent="0.4">
      <c r="A10" t="s">
        <v>49</v>
      </c>
      <c r="B10" t="s">
        <v>99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5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5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5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5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5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5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5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5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5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5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5"/>
      <c r="HD10" s="2"/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/>
      <c r="HQ10" s="2">
        <v>0</v>
      </c>
      <c r="HR10" s="2">
        <v>0</v>
      </c>
      <c r="HS10" s="2">
        <v>0</v>
      </c>
      <c r="HT10" s="2">
        <v>0</v>
      </c>
      <c r="HU10" s="2"/>
      <c r="HV10" s="5">
        <v>0</v>
      </c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</row>
    <row r="11" spans="1:249" hidden="1" x14ac:dyDescent="0.4">
      <c r="A11" t="s">
        <v>49</v>
      </c>
      <c r="B11" t="s">
        <v>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5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5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5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5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5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5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5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5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5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5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5"/>
      <c r="HD11" s="2"/>
      <c r="HE11" s="2"/>
      <c r="HF11" s="2">
        <v>0</v>
      </c>
      <c r="HG11" s="2">
        <v>0</v>
      </c>
      <c r="HH11" s="2">
        <v>0</v>
      </c>
      <c r="HI11" s="2">
        <v>0</v>
      </c>
      <c r="HJ11" s="2"/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/>
      <c r="HU11" s="2"/>
      <c r="HV11" s="5">
        <v>0</v>
      </c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</row>
    <row r="12" spans="1:249" s="6" customFormat="1" hidden="1" x14ac:dyDescent="0.4">
      <c r="A12" s="6" t="s">
        <v>49</v>
      </c>
      <c r="B12" s="6" t="s">
        <v>96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5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5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5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5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5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5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5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5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5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5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5"/>
      <c r="HD12" s="8"/>
      <c r="HE12" s="8"/>
      <c r="HF12" s="8"/>
      <c r="HG12" s="8">
        <v>584324.25</v>
      </c>
      <c r="HH12" s="8">
        <v>190000</v>
      </c>
      <c r="HI12" s="8">
        <v>105000</v>
      </c>
      <c r="HJ12" s="8"/>
      <c r="HK12" s="8">
        <v>81818</v>
      </c>
      <c r="HL12" s="8"/>
      <c r="HM12" s="8"/>
      <c r="HN12" s="8"/>
      <c r="HO12" s="8">
        <v>148102.5</v>
      </c>
      <c r="HP12" s="8"/>
      <c r="HQ12" s="8"/>
      <c r="HR12" s="8"/>
      <c r="HS12" s="8"/>
      <c r="HT12" s="8"/>
      <c r="HU12" s="8"/>
      <c r="HV12" s="5">
        <v>420058.89473684208</v>
      </c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</row>
    <row r="13" spans="1:249" hidden="1" x14ac:dyDescent="0.4">
      <c r="A13" t="s">
        <v>49</v>
      </c>
      <c r="B13" t="s">
        <v>97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5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5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5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5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5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5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5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5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5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5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5"/>
      <c r="HD13" s="2"/>
      <c r="HE13" s="2"/>
      <c r="HF13" s="2"/>
      <c r="HG13" s="2">
        <v>584324.25</v>
      </c>
      <c r="HH13" s="2">
        <v>190000</v>
      </c>
      <c r="HI13" s="2">
        <v>105000</v>
      </c>
      <c r="HJ13" s="2"/>
      <c r="HK13" s="2">
        <v>81818</v>
      </c>
      <c r="HL13" s="2"/>
      <c r="HM13" s="2"/>
      <c r="HN13" s="2"/>
      <c r="HO13" s="2">
        <v>148102.5</v>
      </c>
      <c r="HP13" s="2"/>
      <c r="HQ13" s="2"/>
      <c r="HR13" s="2"/>
      <c r="HS13" s="2"/>
      <c r="HT13" s="2"/>
      <c r="HU13" s="2"/>
      <c r="HV13" s="5">
        <v>420058.89473684208</v>
      </c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</row>
    <row r="14" spans="1:249" hidden="1" x14ac:dyDescent="0.4">
      <c r="A14" t="s">
        <v>49</v>
      </c>
      <c r="B14" t="s">
        <v>98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5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5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5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5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5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5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5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5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5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5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5"/>
      <c r="HD14" s="2"/>
      <c r="HE14" s="2"/>
      <c r="HF14" s="2"/>
      <c r="HG14" s="2">
        <v>125000</v>
      </c>
      <c r="HH14" s="2">
        <v>230000</v>
      </c>
      <c r="HI14" s="2"/>
      <c r="HJ14" s="2">
        <v>85000</v>
      </c>
      <c r="HK14" s="2">
        <v>81542.666666666672</v>
      </c>
      <c r="HL14" s="2"/>
      <c r="HM14" s="2"/>
      <c r="HN14" s="2">
        <v>80000</v>
      </c>
      <c r="HO14" s="2">
        <v>136500</v>
      </c>
      <c r="HP14" s="2">
        <v>100000</v>
      </c>
      <c r="HQ14" s="2"/>
      <c r="HR14" s="2"/>
      <c r="HS14" s="2"/>
      <c r="HT14" s="2"/>
      <c r="HU14" s="2"/>
      <c r="HV14" s="5">
        <v>93579.255813953481</v>
      </c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</row>
    <row r="15" spans="1:249" s="6" customFormat="1" hidden="1" x14ac:dyDescent="0.4">
      <c r="A15" s="6" t="s">
        <v>49</v>
      </c>
      <c r="B15" s="6" t="s">
        <v>7</v>
      </c>
      <c r="C15" s="7">
        <v>100650.29675994109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9">
        <v>100650.29675994109</v>
      </c>
      <c r="V15" s="7">
        <v>101476.26698057044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9">
        <v>101476.26698057044</v>
      </c>
      <c r="AO15" s="7">
        <v>101429.97759909644</v>
      </c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9">
        <v>101429.97759909644</v>
      </c>
      <c r="BH15" s="7">
        <v>101947.40627673225</v>
      </c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9">
        <v>101947.40627673225</v>
      </c>
      <c r="CA15" s="7">
        <v>101674.29494062574</v>
      </c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9">
        <v>101674.29494062574</v>
      </c>
      <c r="CT15" s="7">
        <v>101242.27398382578</v>
      </c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9">
        <v>101242.27398382578</v>
      </c>
      <c r="DM15" s="7">
        <v>101261.2961683584</v>
      </c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9">
        <v>101261.2961683584</v>
      </c>
      <c r="EF15" s="7">
        <v>101523.96105070056</v>
      </c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9">
        <v>101523.96105070056</v>
      </c>
      <c r="EY15" s="7">
        <v>101607.8420102477</v>
      </c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9">
        <v>101607.8420102477</v>
      </c>
      <c r="FR15" s="7">
        <v>101984.37713433313</v>
      </c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9">
        <v>101984.37713433313</v>
      </c>
      <c r="GK15" s="7">
        <v>102055.22940251991</v>
      </c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9">
        <v>102055.22940251991</v>
      </c>
      <c r="HD15" s="7">
        <v>101965.35251605276</v>
      </c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9">
        <v>101965.35251605276</v>
      </c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</row>
    <row r="16" spans="1:249" hidden="1" x14ac:dyDescent="0.4">
      <c r="A16" t="s">
        <v>49</v>
      </c>
      <c r="B16" t="s">
        <v>5</v>
      </c>
      <c r="C16" s="1">
        <v>199872.98428731761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9">
        <v>199872.98428731761</v>
      </c>
      <c r="V16" s="1">
        <v>202949.16158612142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9">
        <v>202949.16158612142</v>
      </c>
      <c r="AO16" s="1">
        <v>202795.95660559306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9">
        <v>202795.95660559306</v>
      </c>
      <c r="BH16" s="1">
        <v>203116.0965814009</v>
      </c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9">
        <v>203116.0965814009</v>
      </c>
      <c r="CA16" s="1">
        <v>203469.98705616911</v>
      </c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9">
        <v>203469.98705616911</v>
      </c>
      <c r="CT16" s="1">
        <v>204554.27416873744</v>
      </c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9">
        <v>204554.27416873744</v>
      </c>
      <c r="DM16" s="1">
        <v>204783.01720075399</v>
      </c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9">
        <v>204783.01720075399</v>
      </c>
      <c r="EF16" s="1">
        <v>204846.84728254491</v>
      </c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9">
        <v>204846.84728254491</v>
      </c>
      <c r="EY16" s="1">
        <v>205457.92963353236</v>
      </c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9">
        <v>205457.92963353236</v>
      </c>
      <c r="FR16" s="1">
        <v>206196.67598294647</v>
      </c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9">
        <v>206196.67598294647</v>
      </c>
      <c r="GK16" s="1">
        <v>206673.1248049922</v>
      </c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9">
        <v>206673.1248049922</v>
      </c>
      <c r="HD16" s="1">
        <v>206966.74161520766</v>
      </c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9">
        <v>206966.74161520766</v>
      </c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</row>
    <row r="17" spans="1:249" hidden="1" x14ac:dyDescent="0.4">
      <c r="A17" t="s">
        <v>49</v>
      </c>
      <c r="B17" t="s">
        <v>6</v>
      </c>
      <c r="C17" s="1"/>
      <c r="D17" s="1">
        <v>224867.65726290515</v>
      </c>
      <c r="E17" s="1">
        <v>171470.59560348402</v>
      </c>
      <c r="F17" s="1">
        <v>183888.47505270556</v>
      </c>
      <c r="G17" s="1">
        <v>172810.43068059057</v>
      </c>
      <c r="H17" s="1">
        <v>110777.66236395849</v>
      </c>
      <c r="I17" s="1">
        <v>114303.14065934066</v>
      </c>
      <c r="J17" s="1">
        <v>126715.19243127454</v>
      </c>
      <c r="K17" s="1">
        <v>128366.03890392423</v>
      </c>
      <c r="L17" s="1">
        <v>116319.00163710778</v>
      </c>
      <c r="M17" s="1">
        <v>143894.45194805195</v>
      </c>
      <c r="N17" s="1">
        <v>137664.95656974605</v>
      </c>
      <c r="O17" s="1">
        <v>159570.27444794952</v>
      </c>
      <c r="P17" s="1">
        <v>114846.24152542373</v>
      </c>
      <c r="Q17" s="1">
        <v>235116.06080114449</v>
      </c>
      <c r="R17" s="1">
        <v>95411.805074506643</v>
      </c>
      <c r="S17" s="1">
        <v>103034.45050055618</v>
      </c>
      <c r="T17" s="1">
        <v>106923.49604221636</v>
      </c>
      <c r="U17" s="9">
        <v>143881.17244146386</v>
      </c>
      <c r="V17" s="1"/>
      <c r="W17" s="1">
        <v>225852.160692951</v>
      </c>
      <c r="X17" s="1">
        <v>173909.3464212679</v>
      </c>
      <c r="Y17" s="1">
        <v>184997.6969804618</v>
      </c>
      <c r="Z17" s="1">
        <v>172955.16541889485</v>
      </c>
      <c r="AA17" s="1">
        <v>110844.95303376492</v>
      </c>
      <c r="AB17" s="1">
        <v>114631.25331369661</v>
      </c>
      <c r="AC17" s="1">
        <v>127317.94830659537</v>
      </c>
      <c r="AD17" s="1">
        <v>128354.48417829194</v>
      </c>
      <c r="AE17" s="1">
        <v>116379.98708288482</v>
      </c>
      <c r="AF17" s="1">
        <v>143701.93244976486</v>
      </c>
      <c r="AG17" s="1">
        <v>137489.83493353028</v>
      </c>
      <c r="AH17" s="1">
        <v>157722.16952983727</v>
      </c>
      <c r="AI17" s="1">
        <v>114729.31952247191</v>
      </c>
      <c r="AJ17" s="1">
        <v>236308.34144595562</v>
      </c>
      <c r="AK17" s="1">
        <v>95366.077942948978</v>
      </c>
      <c r="AL17" s="1">
        <v>103817.1496149615</v>
      </c>
      <c r="AM17" s="1">
        <v>106327.35954301075</v>
      </c>
      <c r="AN17" s="9">
        <v>144159.12825948765</v>
      </c>
      <c r="AO17" s="1"/>
      <c r="AP17" s="1">
        <v>225924.13778829094</v>
      </c>
      <c r="AQ17" s="1">
        <v>174325.90916597852</v>
      </c>
      <c r="AR17" s="1">
        <v>187337.05786618445</v>
      </c>
      <c r="AS17" s="1">
        <v>173347.4847032805</v>
      </c>
      <c r="AT17" s="1">
        <v>111023.46710700133</v>
      </c>
      <c r="AU17" s="1">
        <v>114374.06103993971</v>
      </c>
      <c r="AV17" s="1">
        <v>127105.93926247288</v>
      </c>
      <c r="AW17" s="1">
        <v>128812.54889267462</v>
      </c>
      <c r="AX17" s="1">
        <v>116253.41079175705</v>
      </c>
      <c r="AY17" s="1">
        <v>146677.87558188743</v>
      </c>
      <c r="AZ17" s="1">
        <v>137585.05649926144</v>
      </c>
      <c r="BA17" s="1">
        <v>158008.96078431373</v>
      </c>
      <c r="BB17" s="1">
        <v>114871.16619519095</v>
      </c>
      <c r="BC17" s="1">
        <v>236706.7191091954</v>
      </c>
      <c r="BD17" s="1">
        <v>95333.02463054187</v>
      </c>
      <c r="BE17" s="1">
        <v>103963.76640711902</v>
      </c>
      <c r="BF17" s="1">
        <v>104649.06094808127</v>
      </c>
      <c r="BG17" s="9">
        <v>144488.2145160689</v>
      </c>
      <c r="BH17" s="1"/>
      <c r="BI17" s="1">
        <v>226039.97461629281</v>
      </c>
      <c r="BJ17" s="1">
        <v>176674.48277347116</v>
      </c>
      <c r="BK17" s="1">
        <v>187129.38272497291</v>
      </c>
      <c r="BL17" s="1">
        <v>173332.91967575534</v>
      </c>
      <c r="BM17" s="1">
        <v>111385.10385126162</v>
      </c>
      <c r="BN17" s="1">
        <v>114539.45171102662</v>
      </c>
      <c r="BO17" s="1">
        <v>126660.09565857248</v>
      </c>
      <c r="BP17" s="1">
        <v>128399.38208852005</v>
      </c>
      <c r="BQ17" s="1">
        <v>115874.12445533769</v>
      </c>
      <c r="BR17" s="1">
        <v>146741.12818371606</v>
      </c>
      <c r="BS17" s="1">
        <v>143630.24683544305</v>
      </c>
      <c r="BT17" s="1">
        <v>157917.94858962693</v>
      </c>
      <c r="BU17" s="1">
        <v>115021.2970505618</v>
      </c>
      <c r="BV17" s="1">
        <v>236555.77690100431</v>
      </c>
      <c r="BW17" s="1">
        <v>96819.316997792499</v>
      </c>
      <c r="BX17" s="1">
        <v>104174.29510022272</v>
      </c>
      <c r="BY17" s="1">
        <v>104203.21499617444</v>
      </c>
      <c r="BZ17" s="9">
        <v>145005.77307116191</v>
      </c>
      <c r="CA17" s="1"/>
      <c r="CB17" s="1">
        <v>226133.08785377358</v>
      </c>
      <c r="CC17" s="1">
        <v>177568.64105902778</v>
      </c>
      <c r="CD17" s="1">
        <v>187605.99127589967</v>
      </c>
      <c r="CE17" s="1">
        <v>173591.38985560904</v>
      </c>
      <c r="CF17" s="1">
        <v>112000.23839496459</v>
      </c>
      <c r="CG17" s="1">
        <v>114621.71939163498</v>
      </c>
      <c r="CH17" s="1">
        <v>126807.42194403535</v>
      </c>
      <c r="CI17" s="1">
        <v>128577.54980909407</v>
      </c>
      <c r="CJ17" s="1">
        <v>115970.5451341827</v>
      </c>
      <c r="CK17" s="1">
        <v>147443.04304220644</v>
      </c>
      <c r="CL17" s="1">
        <v>144034.40662540952</v>
      </c>
      <c r="CM17" s="1">
        <v>157992.9465509365</v>
      </c>
      <c r="CN17" s="1">
        <v>115116.18200983838</v>
      </c>
      <c r="CO17" s="1">
        <v>237366.36581818183</v>
      </c>
      <c r="CP17" s="1">
        <v>97523.379419764286</v>
      </c>
      <c r="CQ17" s="1">
        <v>104456.98079096046</v>
      </c>
      <c r="CR17" s="1">
        <v>103922.23237800154</v>
      </c>
      <c r="CS17" s="9">
        <v>145337.18360903065</v>
      </c>
      <c r="CT17" s="1"/>
      <c r="CU17" s="1">
        <v>226284.04502923976</v>
      </c>
      <c r="CV17" s="1">
        <v>177265.03628509719</v>
      </c>
      <c r="CW17" s="1">
        <v>187617.21729651163</v>
      </c>
      <c r="CX17" s="1">
        <v>173959.1530196369</v>
      </c>
      <c r="CY17" s="1">
        <v>112091.68006263048</v>
      </c>
      <c r="CZ17" s="1">
        <v>114858.48156682028</v>
      </c>
      <c r="DA17" s="1">
        <v>126656.07306273063</v>
      </c>
      <c r="DB17" s="1">
        <v>128640.33251833741</v>
      </c>
      <c r="DC17" s="1">
        <v>116242.44319399785</v>
      </c>
      <c r="DD17" s="1">
        <v>147877.51272100044</v>
      </c>
      <c r="DE17" s="1">
        <v>146544.30391101542</v>
      </c>
      <c r="DF17" s="1">
        <v>157875.31350114418</v>
      </c>
      <c r="DG17" s="1">
        <v>115211.94565984474</v>
      </c>
      <c r="DH17" s="1">
        <v>243640.61234071094</v>
      </c>
      <c r="DI17" s="1">
        <v>96986.216490096733</v>
      </c>
      <c r="DJ17" s="1">
        <v>102935.73814898419</v>
      </c>
      <c r="DK17" s="1">
        <v>103855.99382239382</v>
      </c>
      <c r="DL17" s="9">
        <v>145796.59403707017</v>
      </c>
      <c r="DM17" s="1"/>
      <c r="DN17" s="1">
        <v>225188.71205098493</v>
      </c>
      <c r="DO17" s="1">
        <v>178603.66350710901</v>
      </c>
      <c r="DP17" s="1">
        <v>187781.07653429604</v>
      </c>
      <c r="DQ17" s="1">
        <v>174059.28907124206</v>
      </c>
      <c r="DR17" s="1">
        <v>112195.76541935484</v>
      </c>
      <c r="DS17" s="1">
        <v>115420.72123552124</v>
      </c>
      <c r="DT17" s="1">
        <v>126716.66715976331</v>
      </c>
      <c r="DU17" s="1">
        <v>128993.76731301939</v>
      </c>
      <c r="DV17" s="1">
        <v>116293.08743024182</v>
      </c>
      <c r="DW17" s="1">
        <v>148136.97316017316</v>
      </c>
      <c r="DX17" s="1">
        <v>147219.43562928238</v>
      </c>
      <c r="DY17" s="1">
        <v>157797.44358507733</v>
      </c>
      <c r="DZ17" s="1">
        <v>115238.67632508834</v>
      </c>
      <c r="EA17" s="1">
        <v>233099.07422680414</v>
      </c>
      <c r="EB17" s="1">
        <v>96563.981403998143</v>
      </c>
      <c r="EC17" s="1">
        <v>102913.25788288288</v>
      </c>
      <c r="ED17" s="1">
        <v>103938.78664620107</v>
      </c>
      <c r="EE17" s="9">
        <v>145303.55168123767</v>
      </c>
      <c r="EF17" s="1"/>
      <c r="EG17" s="1">
        <v>224922.64804147466</v>
      </c>
      <c r="EH17" s="1">
        <v>178878.97630331753</v>
      </c>
      <c r="EI17" s="1">
        <v>192546.3454610951</v>
      </c>
      <c r="EJ17" s="1">
        <v>174423.54190154077</v>
      </c>
      <c r="EK17" s="1">
        <v>112593.61924257933</v>
      </c>
      <c r="EL17" s="1">
        <v>116743.58047292143</v>
      </c>
      <c r="EM17" s="1">
        <v>126791.74981467753</v>
      </c>
      <c r="EN17" s="1">
        <v>130182.72499140598</v>
      </c>
      <c r="EO17" s="1">
        <v>116379.46755319148</v>
      </c>
      <c r="EP17" s="1">
        <v>147714.75320239112</v>
      </c>
      <c r="EQ17" s="1">
        <v>147357.98305695746</v>
      </c>
      <c r="ER17" s="1">
        <v>158175.988631196</v>
      </c>
      <c r="ES17" s="1">
        <v>115713.08737864078</v>
      </c>
      <c r="ET17" s="1">
        <v>227764.43949044586</v>
      </c>
      <c r="EU17" s="1">
        <v>96639.853215284253</v>
      </c>
      <c r="EV17" s="1">
        <v>102880.98773690077</v>
      </c>
      <c r="EW17" s="1">
        <v>103800.17509157509</v>
      </c>
      <c r="EX17" s="9">
        <v>145500.58362268208</v>
      </c>
      <c r="EY17" s="1"/>
      <c r="EZ17" s="1">
        <v>225350.96749854906</v>
      </c>
      <c r="FA17" s="1">
        <v>179099.95460440987</v>
      </c>
      <c r="FB17" s="1">
        <v>194722.49819884726</v>
      </c>
      <c r="FC17" s="1">
        <v>173770.08769931662</v>
      </c>
      <c r="FD17" s="1">
        <v>112652.99393173198</v>
      </c>
      <c r="FE17" s="1">
        <v>116967.09320091673</v>
      </c>
      <c r="FF17" s="1">
        <v>126666.84247590808</v>
      </c>
      <c r="FG17" s="1">
        <v>130976.50673854447</v>
      </c>
      <c r="FH17" s="1">
        <v>116751.5096</v>
      </c>
      <c r="FI17" s="1">
        <v>147352.32912457912</v>
      </c>
      <c r="FJ17" s="1">
        <v>147426.64961636829</v>
      </c>
      <c r="FK17" s="1">
        <v>157717.33405923346</v>
      </c>
      <c r="FL17" s="1">
        <v>115801.97919556173</v>
      </c>
      <c r="FM17" s="1">
        <v>229195.5781893004</v>
      </c>
      <c r="FN17" s="1">
        <v>97425.259069767446</v>
      </c>
      <c r="FO17" s="1">
        <v>102969.16053511706</v>
      </c>
      <c r="FP17" s="1">
        <v>104886.59168522643</v>
      </c>
      <c r="FQ17" s="9">
        <v>145866.66678961052</v>
      </c>
      <c r="FR17" s="1"/>
      <c r="FS17" s="1">
        <v>225694.83700696056</v>
      </c>
      <c r="FT17" s="1">
        <v>178508.39872068231</v>
      </c>
      <c r="FU17" s="1">
        <v>195563.04292929292</v>
      </c>
      <c r="FV17" s="1">
        <v>176342.66478342749</v>
      </c>
      <c r="FW17" s="1">
        <v>112794.93772151899</v>
      </c>
      <c r="FX17" s="1">
        <v>117088.90596330275</v>
      </c>
      <c r="FY17" s="1">
        <v>126753.77831594634</v>
      </c>
      <c r="FZ17" s="1">
        <v>131043.24333333333</v>
      </c>
      <c r="GA17" s="1">
        <v>117240.99402498642</v>
      </c>
      <c r="GB17" s="1">
        <v>147346.41889632106</v>
      </c>
      <c r="GC17" s="1">
        <v>146827.88772563176</v>
      </c>
      <c r="GD17" s="1">
        <v>156204.87968026925</v>
      </c>
      <c r="GE17" s="1">
        <v>115872.82835302294</v>
      </c>
      <c r="GF17" s="1">
        <v>228323.4533696392</v>
      </c>
      <c r="GG17" s="1">
        <v>97514.557558945904</v>
      </c>
      <c r="GH17" s="1">
        <v>102492.91749174918</v>
      </c>
      <c r="GI17" s="1">
        <v>104910.65429403202</v>
      </c>
      <c r="GJ17" s="9">
        <v>145913.20000994485</v>
      </c>
      <c r="GK17" s="1"/>
      <c r="GL17" s="1">
        <v>225543.92303240742</v>
      </c>
      <c r="GM17" s="1">
        <v>178280.96235194584</v>
      </c>
      <c r="GN17" s="1">
        <v>195665.33525387108</v>
      </c>
      <c r="GO17" s="1">
        <v>175925.00675422139</v>
      </c>
      <c r="GP17" s="1">
        <v>112940.68292682926</v>
      </c>
      <c r="GQ17" s="1">
        <v>116704.43444530644</v>
      </c>
      <c r="GR17" s="1">
        <v>126577.36333578252</v>
      </c>
      <c r="GS17" s="1">
        <v>131522.62223710649</v>
      </c>
      <c r="GT17" s="1">
        <v>117296.6339673913</v>
      </c>
      <c r="GU17" s="1">
        <v>147528.26247379454</v>
      </c>
      <c r="GV17" s="1">
        <v>146460.53631484794</v>
      </c>
      <c r="GW17" s="1">
        <v>155936.20359531773</v>
      </c>
      <c r="GX17" s="1">
        <v>115843.17118997913</v>
      </c>
      <c r="GY17" s="1">
        <v>230029.54361479415</v>
      </c>
      <c r="GZ17" s="1">
        <v>97499.220689655165</v>
      </c>
      <c r="HA17" s="1">
        <v>101559.09848484848</v>
      </c>
      <c r="HB17" s="1">
        <v>104289.82932011332</v>
      </c>
      <c r="HC17" s="9">
        <v>145858.98999930662</v>
      </c>
      <c r="HD17" s="1"/>
      <c r="HE17" s="1">
        <v>222700.52206736352</v>
      </c>
      <c r="HF17" s="1">
        <v>178208.58625052721</v>
      </c>
      <c r="HG17" s="1">
        <v>196709.35979790689</v>
      </c>
      <c r="HH17" s="1">
        <v>175159.26090225563</v>
      </c>
      <c r="HI17" s="1">
        <v>112994.46188565697</v>
      </c>
      <c r="HJ17" s="1">
        <v>117294.79196787148</v>
      </c>
      <c r="HK17" s="1">
        <v>126527.66581259151</v>
      </c>
      <c r="HL17" s="1">
        <v>131420.73226773227</v>
      </c>
      <c r="HM17" s="1">
        <v>117307.51318293014</v>
      </c>
      <c r="HN17" s="1">
        <v>147604.25874420564</v>
      </c>
      <c r="HO17" s="1">
        <v>145963.88754877617</v>
      </c>
      <c r="HP17" s="1">
        <v>156502.69772344013</v>
      </c>
      <c r="HQ17" s="1">
        <v>115745.02239328201</v>
      </c>
      <c r="HR17" s="1">
        <v>227596.18048780487</v>
      </c>
      <c r="HS17" s="1">
        <v>97524.6241950322</v>
      </c>
      <c r="HT17" s="1">
        <v>101413.58568329718</v>
      </c>
      <c r="HU17" s="1">
        <v>103646.66734279919</v>
      </c>
      <c r="HV17" s="9">
        <v>145548.2246031455</v>
      </c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</row>
    <row r="18" spans="1:249" hidden="1" x14ac:dyDescent="0.4">
      <c r="A18" t="s">
        <v>49</v>
      </c>
      <c r="B18" t="s">
        <v>4</v>
      </c>
      <c r="C18" s="1"/>
      <c r="D18" s="1">
        <v>435275.53527980536</v>
      </c>
      <c r="E18" s="1">
        <v>252629.00510204083</v>
      </c>
      <c r="F18" s="1">
        <v>249031.72856049004</v>
      </c>
      <c r="G18" s="1">
        <v>259755.00572246066</v>
      </c>
      <c r="H18" s="1">
        <v>217522.93933463795</v>
      </c>
      <c r="I18" s="1">
        <v>199125.56675749319</v>
      </c>
      <c r="J18" s="1">
        <v>238660.2831920904</v>
      </c>
      <c r="K18" s="1">
        <v>250069.82606410931</v>
      </c>
      <c r="L18" s="1">
        <v>253867.30801687765</v>
      </c>
      <c r="M18" s="1">
        <v>307705.30160618678</v>
      </c>
      <c r="N18" s="1">
        <v>226489.95824411136</v>
      </c>
      <c r="O18" s="1">
        <v>224970.22154471546</v>
      </c>
      <c r="P18" s="1">
        <v>206539.4537815126</v>
      </c>
      <c r="Q18" s="1">
        <v>258960.32091690545</v>
      </c>
      <c r="R18" s="1">
        <v>186995.94638069705</v>
      </c>
      <c r="S18" s="1">
        <v>179207.46296296295</v>
      </c>
      <c r="T18" s="1">
        <v>253784.71052631579</v>
      </c>
      <c r="U18" s="9">
        <v>247093.56317608312</v>
      </c>
      <c r="V18" s="1"/>
      <c r="W18" s="1">
        <v>435299.86618004867</v>
      </c>
      <c r="X18" s="1">
        <v>254285.57201225741</v>
      </c>
      <c r="Y18" s="1">
        <v>249810.97464464081</v>
      </c>
      <c r="Z18" s="1">
        <v>259924.74367541767</v>
      </c>
      <c r="AA18" s="1">
        <v>220888.88846520495</v>
      </c>
      <c r="AB18" s="1">
        <v>199652.60162601626</v>
      </c>
      <c r="AC18" s="1">
        <v>239239.93871866295</v>
      </c>
      <c r="AD18" s="1">
        <v>251181.78763866879</v>
      </c>
      <c r="AE18" s="1">
        <v>253359.35285913528</v>
      </c>
      <c r="AF18" s="1">
        <v>310174.34002433089</v>
      </c>
      <c r="AG18" s="1">
        <v>228121.38692946057</v>
      </c>
      <c r="AH18" s="1">
        <v>227915.36726546907</v>
      </c>
      <c r="AI18" s="1">
        <v>206498.0291262136</v>
      </c>
      <c r="AJ18" s="1">
        <v>258811.9431171786</v>
      </c>
      <c r="AK18" s="1">
        <v>187138.16397849462</v>
      </c>
      <c r="AL18" s="1">
        <v>179416.26816380449</v>
      </c>
      <c r="AM18" s="1">
        <v>254033.44411764707</v>
      </c>
      <c r="AN18" s="9">
        <v>247985.4510907442</v>
      </c>
      <c r="AO18" s="1"/>
      <c r="AP18" s="1">
        <v>428000.59610705596</v>
      </c>
      <c r="AQ18" s="1">
        <v>255961.45398773006</v>
      </c>
      <c r="AR18" s="1">
        <v>248546.07835678966</v>
      </c>
      <c r="AS18" s="1">
        <v>261406.22735849058</v>
      </c>
      <c r="AT18" s="1">
        <v>220862.13844714686</v>
      </c>
      <c r="AU18" s="1">
        <v>206099.87967914439</v>
      </c>
      <c r="AV18" s="1">
        <v>239965.19466474405</v>
      </c>
      <c r="AW18" s="1">
        <v>253603.51331203408</v>
      </c>
      <c r="AX18" s="1">
        <v>252950.50894085283</v>
      </c>
      <c r="AY18" s="1">
        <v>318667.49138443253</v>
      </c>
      <c r="AZ18" s="1">
        <v>229581.50153217569</v>
      </c>
      <c r="BA18" s="1">
        <v>227979.4852071006</v>
      </c>
      <c r="BB18" s="1">
        <v>208829.07692307694</v>
      </c>
      <c r="BC18" s="1">
        <v>260973.86203028602</v>
      </c>
      <c r="BD18" s="1">
        <v>188206.10483870967</v>
      </c>
      <c r="BE18" s="1">
        <v>179628.12137203166</v>
      </c>
      <c r="BF18" s="1">
        <v>255999.19207317074</v>
      </c>
      <c r="BG18" s="9">
        <v>249250.61330676303</v>
      </c>
      <c r="BH18" s="1"/>
      <c r="BI18" s="1">
        <v>437927.60340632603</v>
      </c>
      <c r="BJ18" s="1">
        <v>257311.94464377241</v>
      </c>
      <c r="BK18" s="1">
        <v>250271.69423368739</v>
      </c>
      <c r="BL18" s="1">
        <v>261545.29325789722</v>
      </c>
      <c r="BM18" s="1">
        <v>221419.17788018432</v>
      </c>
      <c r="BN18" s="1">
        <v>206359.98670212767</v>
      </c>
      <c r="BO18" s="1">
        <v>239246.74747474748</v>
      </c>
      <c r="BP18" s="1">
        <v>256247.06673564407</v>
      </c>
      <c r="BQ18" s="1">
        <v>241747.09256844851</v>
      </c>
      <c r="BR18" s="1">
        <v>319258.15339233039</v>
      </c>
      <c r="BS18" s="1">
        <v>230799.64032421479</v>
      </c>
      <c r="BT18" s="1">
        <v>228152.60373647985</v>
      </c>
      <c r="BU18" s="1">
        <v>209794.6032388664</v>
      </c>
      <c r="BV18" s="1">
        <v>264540.28032979975</v>
      </c>
      <c r="BW18" s="1">
        <v>188641.28212290502</v>
      </c>
      <c r="BX18" s="1">
        <v>180177.48666666666</v>
      </c>
      <c r="BY18" s="1">
        <v>256620.72307692308</v>
      </c>
      <c r="BZ18" s="9">
        <v>250003.61057594238</v>
      </c>
      <c r="CA18" s="1"/>
      <c r="CB18" s="1">
        <v>442307.16545012168</v>
      </c>
      <c r="CC18" s="1">
        <v>257676.48288196218</v>
      </c>
      <c r="CD18" s="1">
        <v>250264.68874670682</v>
      </c>
      <c r="CE18" s="1">
        <v>261542.38447058824</v>
      </c>
      <c r="CF18" s="1">
        <v>221426.20531622364</v>
      </c>
      <c r="CG18" s="1">
        <v>206078.91129032258</v>
      </c>
      <c r="CH18" s="1">
        <v>239122.01222142344</v>
      </c>
      <c r="CI18" s="1">
        <v>256719.76494634646</v>
      </c>
      <c r="CJ18" s="1">
        <v>256613.2671957672</v>
      </c>
      <c r="CK18" s="1">
        <v>320149.28154205607</v>
      </c>
      <c r="CL18" s="1">
        <v>230956.63793103449</v>
      </c>
      <c r="CM18" s="1">
        <v>228503.17261904763</v>
      </c>
      <c r="CN18" s="1">
        <v>209967.4566395664</v>
      </c>
      <c r="CO18" s="1">
        <v>265290.22361359571</v>
      </c>
      <c r="CP18" s="1">
        <v>189464.3426966292</v>
      </c>
      <c r="CQ18" s="1">
        <v>180283.32364597093</v>
      </c>
      <c r="CR18" s="1">
        <v>255586.40419161678</v>
      </c>
      <c r="CS18" s="9">
        <v>251291.27796464582</v>
      </c>
      <c r="CT18" s="1"/>
      <c r="CU18" s="1">
        <v>442336.6707021792</v>
      </c>
      <c r="CV18" s="1">
        <v>258041.10391566265</v>
      </c>
      <c r="CW18" s="1">
        <v>249977.54127754949</v>
      </c>
      <c r="CX18" s="1">
        <v>262333.56723484851</v>
      </c>
      <c r="CY18" s="1">
        <v>221988.36990027199</v>
      </c>
      <c r="CZ18" s="1">
        <v>208284.77864583334</v>
      </c>
      <c r="DA18" s="1">
        <v>239117.32122507124</v>
      </c>
      <c r="DB18" s="1">
        <v>256556.75483214649</v>
      </c>
      <c r="DC18" s="1">
        <v>260647.14570361146</v>
      </c>
      <c r="DD18" s="1">
        <v>319201.38479001133</v>
      </c>
      <c r="DE18" s="1">
        <v>231079.27558257346</v>
      </c>
      <c r="DF18" s="1">
        <v>230998.62143559489</v>
      </c>
      <c r="DG18" s="1">
        <v>209968.85385656293</v>
      </c>
      <c r="DH18" s="1">
        <v>265061.52386634843</v>
      </c>
      <c r="DI18" s="1">
        <v>189605.89915966385</v>
      </c>
      <c r="DJ18" s="1">
        <v>180145.69946808511</v>
      </c>
      <c r="DK18" s="1">
        <v>250099.56211180124</v>
      </c>
      <c r="DL18" s="9">
        <v>251496.71021810677</v>
      </c>
      <c r="DM18" s="1"/>
      <c r="DN18" s="1">
        <v>442336.6707021792</v>
      </c>
      <c r="DO18" s="1">
        <v>257848.24274274273</v>
      </c>
      <c r="DP18" s="1">
        <v>250318.37897853443</v>
      </c>
      <c r="DQ18" s="1">
        <v>262866.83560356975</v>
      </c>
      <c r="DR18" s="1">
        <v>223113.26032315977</v>
      </c>
      <c r="DS18" s="1">
        <v>208431.44300518135</v>
      </c>
      <c r="DT18" s="1">
        <v>239243.04338549075</v>
      </c>
      <c r="DU18" s="1">
        <v>256349.41611758742</v>
      </c>
      <c r="DV18" s="1">
        <v>260919.97263681592</v>
      </c>
      <c r="DW18" s="1">
        <v>318572.0734463277</v>
      </c>
      <c r="DX18" s="1">
        <v>235035.13958125623</v>
      </c>
      <c r="DY18" s="1">
        <v>231304.12377210218</v>
      </c>
      <c r="DZ18" s="1">
        <v>210026.8990578735</v>
      </c>
      <c r="EA18" s="1">
        <v>266383.3215158924</v>
      </c>
      <c r="EB18" s="1">
        <v>195300.73369565216</v>
      </c>
      <c r="EC18" s="1">
        <v>180188.51199999999</v>
      </c>
      <c r="ED18" s="1">
        <v>244330.14671814672</v>
      </c>
      <c r="EE18" s="9">
        <v>251915.77725191251</v>
      </c>
      <c r="EF18" s="1"/>
      <c r="EG18" s="1">
        <v>442336.6707021792</v>
      </c>
      <c r="EH18" s="1">
        <v>258255.20410205104</v>
      </c>
      <c r="EI18" s="1">
        <v>251594.53840499817</v>
      </c>
      <c r="EJ18" s="1">
        <v>262821.39185393258</v>
      </c>
      <c r="EK18" s="1">
        <v>222806.71960958297</v>
      </c>
      <c r="EL18" s="1">
        <v>204591.21582733814</v>
      </c>
      <c r="EM18" s="1">
        <v>239447.36273115221</v>
      </c>
      <c r="EN18" s="1">
        <v>256126.19198416625</v>
      </c>
      <c r="EO18" s="1">
        <v>261167.07868020303</v>
      </c>
      <c r="EP18" s="1">
        <v>318863.95880361175</v>
      </c>
      <c r="EQ18" s="1">
        <v>235845.38208955224</v>
      </c>
      <c r="ER18" s="1">
        <v>231479.95874263262</v>
      </c>
      <c r="ES18" s="1">
        <v>210304.97435897434</v>
      </c>
      <c r="ET18" s="1">
        <v>277752.13341204252</v>
      </c>
      <c r="EU18" s="1">
        <v>195827.19073569484</v>
      </c>
      <c r="EV18" s="1">
        <v>180474.46684350132</v>
      </c>
      <c r="EW18" s="1">
        <v>244143.70881226053</v>
      </c>
      <c r="EX18" s="9">
        <v>252578.71457022789</v>
      </c>
      <c r="EY18" s="1"/>
      <c r="EZ18" s="1">
        <v>446063.93617021275</v>
      </c>
      <c r="FA18" s="1">
        <v>258650.32487562188</v>
      </c>
      <c r="FB18" s="1">
        <v>251690.25958378971</v>
      </c>
      <c r="FC18" s="1">
        <v>266507.87807139545</v>
      </c>
      <c r="FD18" s="1">
        <v>222931.55057167987</v>
      </c>
      <c r="FE18" s="1">
        <v>205130.00472813239</v>
      </c>
      <c r="FF18" s="1">
        <v>239514.90960854091</v>
      </c>
      <c r="FG18" s="1">
        <v>258044.11945392491</v>
      </c>
      <c r="FH18" s="1">
        <v>260199.57515527951</v>
      </c>
      <c r="FI18" s="1">
        <v>318468.37310073158</v>
      </c>
      <c r="FJ18" s="1">
        <v>236142.79145978153</v>
      </c>
      <c r="FK18" s="1">
        <v>231689.56496062991</v>
      </c>
      <c r="FL18" s="1">
        <v>210377.6693548387</v>
      </c>
      <c r="FM18" s="1">
        <v>277869.14083677076</v>
      </c>
      <c r="FN18" s="1">
        <v>195677.92876712329</v>
      </c>
      <c r="FO18" s="1">
        <v>180368.67330677292</v>
      </c>
      <c r="FP18" s="1">
        <v>244390.41538461539</v>
      </c>
      <c r="FQ18" s="9">
        <v>253159.83031704952</v>
      </c>
      <c r="FR18" s="1"/>
      <c r="FS18" s="1">
        <v>446410.05924170616</v>
      </c>
      <c r="FT18" s="1">
        <v>258495.87444389521</v>
      </c>
      <c r="FU18" s="1">
        <v>251578.83552151715</v>
      </c>
      <c r="FV18" s="1">
        <v>258594.66542056075</v>
      </c>
      <c r="FW18" s="1">
        <v>222745.97285464098</v>
      </c>
      <c r="FX18" s="1">
        <v>202475.50549450549</v>
      </c>
      <c r="FY18" s="1">
        <v>240077.74050179211</v>
      </c>
      <c r="FZ18" s="1">
        <v>258440.92110358179</v>
      </c>
      <c r="GA18" s="1">
        <v>259867.62469733655</v>
      </c>
      <c r="GB18" s="1">
        <v>315040.01635768812</v>
      </c>
      <c r="GC18" s="1">
        <v>237882.55270935962</v>
      </c>
      <c r="GD18" s="1">
        <v>231766.5663716814</v>
      </c>
      <c r="GE18" s="1">
        <v>209825.27718832891</v>
      </c>
      <c r="GF18" s="1">
        <v>277717.75878220139</v>
      </c>
      <c r="GG18" s="1">
        <v>196127.70572207085</v>
      </c>
      <c r="GH18" s="1">
        <v>180365.51915455746</v>
      </c>
      <c r="GI18" s="1">
        <v>248161.9180327869</v>
      </c>
      <c r="GJ18" s="9">
        <v>252680.85374107125</v>
      </c>
      <c r="GK18" s="1"/>
      <c r="GL18" s="1">
        <v>459224.64120370371</v>
      </c>
      <c r="GM18" s="1">
        <v>258299.69094488188</v>
      </c>
      <c r="GN18" s="1">
        <v>251670.19534376136</v>
      </c>
      <c r="GO18" s="1">
        <v>258570.64513151822</v>
      </c>
      <c r="GP18" s="1">
        <v>223272.48024582968</v>
      </c>
      <c r="GQ18" s="1">
        <v>201879.66596194502</v>
      </c>
      <c r="GR18" s="1">
        <v>240204.1870967742</v>
      </c>
      <c r="GS18" s="1">
        <v>259008.60894660893</v>
      </c>
      <c r="GT18" s="1">
        <v>259906.37318840579</v>
      </c>
      <c r="GU18" s="1">
        <v>312397.32228754676</v>
      </c>
      <c r="GV18" s="1">
        <v>238083.97173489278</v>
      </c>
      <c r="GW18" s="1">
        <v>231418.21476510068</v>
      </c>
      <c r="GX18" s="1">
        <v>209128.83875162547</v>
      </c>
      <c r="GY18" s="1">
        <v>278491.15956842701</v>
      </c>
      <c r="GZ18" s="1">
        <v>196204.12466124661</v>
      </c>
      <c r="HA18" s="1">
        <v>180322.20921052631</v>
      </c>
      <c r="HB18" s="1">
        <v>251151.83783783784</v>
      </c>
      <c r="HC18" s="9">
        <v>253484.36275768423</v>
      </c>
      <c r="HD18" s="1"/>
      <c r="HE18" s="1">
        <v>458790.42626728112</v>
      </c>
      <c r="HF18" s="1">
        <v>258253.91552062868</v>
      </c>
      <c r="HG18" s="1">
        <v>251733.65866084426</v>
      </c>
      <c r="HH18" s="1">
        <v>258616.15327793168</v>
      </c>
      <c r="HI18" s="1">
        <v>223245.68684210526</v>
      </c>
      <c r="HJ18" s="1">
        <v>202105.65384615384</v>
      </c>
      <c r="HK18" s="1">
        <v>240552.83859397419</v>
      </c>
      <c r="HL18" s="1">
        <v>259265.79587925252</v>
      </c>
      <c r="HM18" s="1">
        <v>259740.11445783134</v>
      </c>
      <c r="HN18" s="1">
        <v>312915.57947900053</v>
      </c>
      <c r="HO18" s="1">
        <v>238033.16019417476</v>
      </c>
      <c r="HP18" s="1">
        <v>231295.70829361296</v>
      </c>
      <c r="HQ18" s="1">
        <v>209024.80754226269</v>
      </c>
      <c r="HR18" s="1">
        <v>278995.20909090911</v>
      </c>
      <c r="HS18" s="1">
        <v>196342.33604336044</v>
      </c>
      <c r="HT18" s="1">
        <v>180347.04617414248</v>
      </c>
      <c r="HU18" s="1">
        <v>248192.375</v>
      </c>
      <c r="HV18" s="9">
        <v>253379.43912726268</v>
      </c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</row>
    <row r="19" spans="1:249" hidden="1" x14ac:dyDescent="0.4">
      <c r="A19" t="s">
        <v>49</v>
      </c>
      <c r="B19" t="s">
        <v>46</v>
      </c>
      <c r="C19" s="1"/>
      <c r="D19" s="1"/>
      <c r="E19" s="1">
        <v>26655.509049123815</v>
      </c>
      <c r="F19" s="1">
        <v>21502.610920993899</v>
      </c>
      <c r="G19" s="1">
        <v>22883.248581157775</v>
      </c>
      <c r="H19" s="1">
        <v>27865.952282157676</v>
      </c>
      <c r="I19" s="1">
        <v>23202.053846153845</v>
      </c>
      <c r="J19" s="1">
        <v>23180.339580814187</v>
      </c>
      <c r="K19" s="1">
        <v>27607.876113046845</v>
      </c>
      <c r="L19" s="1">
        <v>23354.638728323698</v>
      </c>
      <c r="M19" s="1">
        <v>27011.766739051756</v>
      </c>
      <c r="N19" s="1">
        <v>27953.405489530276</v>
      </c>
      <c r="O19" s="1">
        <v>31530.592907596943</v>
      </c>
      <c r="P19" s="1">
        <v>28487.395017793595</v>
      </c>
      <c r="Q19" s="1">
        <v>23994.411368639128</v>
      </c>
      <c r="R19" s="1">
        <v>21557.750341997264</v>
      </c>
      <c r="S19" s="1">
        <v>25442.543925233644</v>
      </c>
      <c r="T19" s="1">
        <v>20947.981141692151</v>
      </c>
      <c r="U19" s="9">
        <v>25198.629752081655</v>
      </c>
      <c r="V19" s="1"/>
      <c r="W19" s="1"/>
      <c r="X19" s="1">
        <v>26620.799999999999</v>
      </c>
      <c r="Y19" s="1">
        <v>21610.601057579319</v>
      </c>
      <c r="Z19" s="1">
        <v>22867.975578406171</v>
      </c>
      <c r="AA19" s="1">
        <v>25430.204968944101</v>
      </c>
      <c r="AB19" s="1">
        <v>23214.461577738064</v>
      </c>
      <c r="AC19" s="1">
        <v>23206.554507127083</v>
      </c>
      <c r="AD19" s="1">
        <v>27677.917187796098</v>
      </c>
      <c r="AE19" s="1">
        <v>23400.448150833938</v>
      </c>
      <c r="AF19" s="1">
        <v>26881.832136445242</v>
      </c>
      <c r="AG19" s="1">
        <v>27689.670882518269</v>
      </c>
      <c r="AH19" s="1">
        <v>31630.226028378958</v>
      </c>
      <c r="AI19" s="1">
        <v>28545.116480162767</v>
      </c>
      <c r="AJ19" s="1">
        <v>23925.641224282448</v>
      </c>
      <c r="AK19" s="1">
        <v>21561.867989056089</v>
      </c>
      <c r="AL19" s="1">
        <v>25298.123339658443</v>
      </c>
      <c r="AM19" s="1">
        <v>20845.036609829487</v>
      </c>
      <c r="AN19" s="9">
        <v>25025.404857422276</v>
      </c>
      <c r="AO19" s="1"/>
      <c r="AP19" s="1"/>
      <c r="AQ19" s="1">
        <v>26528.059437518121</v>
      </c>
      <c r="AR19" s="1">
        <v>21573.639461752231</v>
      </c>
      <c r="AS19" s="1">
        <v>22713.851798561151</v>
      </c>
      <c r="AT19" s="1">
        <v>27669.460652591169</v>
      </c>
      <c r="AU19" s="1">
        <v>23157.791352438413</v>
      </c>
      <c r="AV19" s="1">
        <v>23099.876673995601</v>
      </c>
      <c r="AW19" s="1">
        <v>27539.632645403377</v>
      </c>
      <c r="AX19" s="1">
        <v>23317.877265039864</v>
      </c>
      <c r="AY19" s="1">
        <v>26910.699503897944</v>
      </c>
      <c r="AZ19" s="1">
        <v>27735.326852634546</v>
      </c>
      <c r="BA19" s="1">
        <v>31286.324208725408</v>
      </c>
      <c r="BB19" s="1">
        <v>28456.784154393092</v>
      </c>
      <c r="BC19" s="1">
        <v>23888.036966704647</v>
      </c>
      <c r="BD19" s="1">
        <v>21388.456304202802</v>
      </c>
      <c r="BE19" s="1">
        <v>25397.919540229886</v>
      </c>
      <c r="BF19" s="1">
        <v>20826.613205222962</v>
      </c>
      <c r="BG19" s="9">
        <v>25093.146876456947</v>
      </c>
      <c r="BH19" s="1"/>
      <c r="BI19" s="1"/>
      <c r="BJ19" s="1">
        <v>35209.707723227104</v>
      </c>
      <c r="BK19" s="1">
        <v>21595.336031218383</v>
      </c>
      <c r="BL19" s="1">
        <v>22679.026808375635</v>
      </c>
      <c r="BM19" s="1">
        <v>26897.874762808347</v>
      </c>
      <c r="BN19" s="1">
        <v>23176.909411172623</v>
      </c>
      <c r="BO19" s="1">
        <v>23114.655770380705</v>
      </c>
      <c r="BP19" s="1">
        <v>27564.05564708036</v>
      </c>
      <c r="BQ19" s="1">
        <v>23343.806765636407</v>
      </c>
      <c r="BR19" s="1">
        <v>26893.010280042537</v>
      </c>
      <c r="BS19" s="1">
        <v>27662.840231788079</v>
      </c>
      <c r="BT19" s="1">
        <v>31047.050915649277</v>
      </c>
      <c r="BU19" s="1">
        <v>28339.146231155781</v>
      </c>
      <c r="BV19" s="1">
        <v>23467.214636604105</v>
      </c>
      <c r="BW19" s="1">
        <v>25010.803288672352</v>
      </c>
      <c r="BX19" s="1">
        <v>25408.634285714284</v>
      </c>
      <c r="BY19" s="1">
        <v>20884.826224713623</v>
      </c>
      <c r="BZ19" s="9">
        <v>25768.431188389979</v>
      </c>
      <c r="CA19" s="1"/>
      <c r="CB19" s="1"/>
      <c r="CC19" s="1">
        <v>35219.368135011442</v>
      </c>
      <c r="CD19" s="1">
        <v>21585.665701042875</v>
      </c>
      <c r="CE19" s="1">
        <v>22682.340015910901</v>
      </c>
      <c r="CF19" s="1">
        <v>26940.95785440613</v>
      </c>
      <c r="CG19" s="1">
        <v>23191.400450225112</v>
      </c>
      <c r="CH19" s="1">
        <v>23189.326942280808</v>
      </c>
      <c r="CI19" s="1">
        <v>27599.603310294653</v>
      </c>
      <c r="CJ19" s="1">
        <v>23390.929618768329</v>
      </c>
      <c r="CK19" s="1">
        <v>26972.077533039646</v>
      </c>
      <c r="CL19" s="1">
        <v>27577.150435255713</v>
      </c>
      <c r="CM19" s="1">
        <v>31075.135750306665</v>
      </c>
      <c r="CN19" s="1">
        <v>28272.382308845576</v>
      </c>
      <c r="CO19" s="1">
        <v>23382.793350963355</v>
      </c>
      <c r="CP19" s="1">
        <v>20878.787271655863</v>
      </c>
      <c r="CQ19" s="1">
        <v>25320.495238095238</v>
      </c>
      <c r="CR19" s="1">
        <v>20896.192680562286</v>
      </c>
      <c r="CS19" s="9">
        <v>25510.912912291533</v>
      </c>
      <c r="CT19" s="1"/>
      <c r="CU19" s="1"/>
      <c r="CV19" s="1">
        <v>35263.076725613231</v>
      </c>
      <c r="CW19" s="1">
        <v>21514.428510638299</v>
      </c>
      <c r="CX19" s="1">
        <v>22619.935046507962</v>
      </c>
      <c r="CY19" s="1">
        <v>27316.030245746693</v>
      </c>
      <c r="CZ19" s="1">
        <v>23002.354862842894</v>
      </c>
      <c r="DA19" s="1">
        <v>23144.684652278178</v>
      </c>
      <c r="DB19" s="1">
        <v>27446.014833127319</v>
      </c>
      <c r="DC19" s="1">
        <v>23357.658055081647</v>
      </c>
      <c r="DD19" s="1">
        <v>26798.052790079717</v>
      </c>
      <c r="DE19" s="1">
        <v>27232.365887207703</v>
      </c>
      <c r="DF19" s="1">
        <v>30803.142570281125</v>
      </c>
      <c r="DG19" s="1">
        <v>28233.517121588091</v>
      </c>
      <c r="DH19" s="1">
        <v>23207.998862631113</v>
      </c>
      <c r="DI19" s="1">
        <v>20779.088888888888</v>
      </c>
      <c r="DJ19" s="1">
        <v>24820.996323529413</v>
      </c>
      <c r="DK19" s="1">
        <v>20893.563400576368</v>
      </c>
      <c r="DL19" s="9">
        <v>25402.056798538666</v>
      </c>
      <c r="DM19" s="1"/>
      <c r="DN19" s="1">
        <v>57000</v>
      </c>
      <c r="DO19" s="1">
        <v>35181.846785613139</v>
      </c>
      <c r="DP19" s="1">
        <v>21528.379855911851</v>
      </c>
      <c r="DQ19" s="1">
        <v>22538.570737794416</v>
      </c>
      <c r="DR19" s="1">
        <v>27337.438794726932</v>
      </c>
      <c r="DS19" s="1">
        <v>26998.148227456579</v>
      </c>
      <c r="DT19" s="1">
        <v>23172.632133624975</v>
      </c>
      <c r="DU19" s="1">
        <v>27364.383891213391</v>
      </c>
      <c r="DV19" s="1">
        <v>23188.214111922141</v>
      </c>
      <c r="DW19" s="1">
        <v>26788.386661936856</v>
      </c>
      <c r="DX19" s="1">
        <v>27210.059517426274</v>
      </c>
      <c r="DY19" s="1">
        <v>30800.59495686795</v>
      </c>
      <c r="DZ19" s="1">
        <v>28176.790709046454</v>
      </c>
      <c r="EA19" s="1">
        <v>23669.449913430621</v>
      </c>
      <c r="EB19" s="1">
        <v>20694.047508690615</v>
      </c>
      <c r="EC19" s="1">
        <v>24797.80366972477</v>
      </c>
      <c r="ED19" s="1">
        <v>20980.982091690545</v>
      </c>
      <c r="EE19" s="9">
        <v>27495.748798063389</v>
      </c>
      <c r="EF19" s="1"/>
      <c r="EG19" s="1">
        <v>57000</v>
      </c>
      <c r="EH19" s="1">
        <v>35275.018734033496</v>
      </c>
      <c r="EI19" s="1">
        <v>21500.917075908517</v>
      </c>
      <c r="EJ19" s="1">
        <v>22826.314374034002</v>
      </c>
      <c r="EK19" s="1">
        <v>27371.152255639099</v>
      </c>
      <c r="EL19" s="1">
        <v>27063.467784431137</v>
      </c>
      <c r="EM19" s="1">
        <v>23206.206245027843</v>
      </c>
      <c r="EN19" s="1">
        <v>27264.725021795988</v>
      </c>
      <c r="EO19" s="1">
        <v>23227.271889400923</v>
      </c>
      <c r="EP19" s="1">
        <v>26813.438811810742</v>
      </c>
      <c r="EQ19" s="1">
        <v>27313.603283898305</v>
      </c>
      <c r="ER19" s="1">
        <v>30680.015358361776</v>
      </c>
      <c r="ES19" s="1">
        <v>28167.927799607074</v>
      </c>
      <c r="ET19" s="1">
        <v>23647.861950801616</v>
      </c>
      <c r="EU19" s="1">
        <v>20654.811536264991</v>
      </c>
      <c r="EV19" s="1">
        <v>24817.65561694291</v>
      </c>
      <c r="EW19" s="1">
        <v>21012.846467065869</v>
      </c>
      <c r="EX19" s="9">
        <v>27520.190247354371</v>
      </c>
      <c r="EY19" s="1"/>
      <c r="EZ19" s="1">
        <v>57000</v>
      </c>
      <c r="FA19" s="1">
        <v>35245.208015805816</v>
      </c>
      <c r="FB19" s="1">
        <v>21661.42620439989</v>
      </c>
      <c r="FC19" s="1">
        <v>22682.102521008404</v>
      </c>
      <c r="FD19" s="1">
        <v>27407.215355805245</v>
      </c>
      <c r="FE19" s="1">
        <v>27074.330055169106</v>
      </c>
      <c r="FF19" s="1">
        <v>23228.90027810886</v>
      </c>
      <c r="FG19" s="1">
        <v>27307.602290473711</v>
      </c>
      <c r="FH19" s="1">
        <v>23246.128543969244</v>
      </c>
      <c r="FI19" s="1">
        <v>26796.214094558429</v>
      </c>
      <c r="FJ19" s="1">
        <v>27158.395212765958</v>
      </c>
      <c r="FK19" s="1">
        <v>30689.97486252946</v>
      </c>
      <c r="FL19" s="1">
        <v>28337.212818003914</v>
      </c>
      <c r="FM19" s="1">
        <v>23649.848132271891</v>
      </c>
      <c r="FN19" s="1">
        <v>20721.172860360359</v>
      </c>
      <c r="FO19" s="1">
        <v>24760.214953271028</v>
      </c>
      <c r="FP19" s="1">
        <v>21026.766388557808</v>
      </c>
      <c r="FQ19" s="9">
        <v>27528.983093356415</v>
      </c>
      <c r="FR19" s="1"/>
      <c r="FS19" s="1">
        <v>57000</v>
      </c>
      <c r="FT19" s="1">
        <v>35316.495753114381</v>
      </c>
      <c r="FU19" s="1">
        <v>21538.942053210754</v>
      </c>
      <c r="FV19" s="1">
        <v>22409.218625345198</v>
      </c>
      <c r="FW19" s="1">
        <v>27432.114877589454</v>
      </c>
      <c r="FX19" s="1">
        <v>26997.062335801289</v>
      </c>
      <c r="FY19" s="1">
        <v>23286.06056983463</v>
      </c>
      <c r="FZ19" s="1">
        <v>27554.399757827367</v>
      </c>
      <c r="GA19" s="1">
        <v>23241.96122546673</v>
      </c>
      <c r="GB19" s="1">
        <v>26760.869278717721</v>
      </c>
      <c r="GC19" s="1">
        <v>27110.653180729307</v>
      </c>
      <c r="GD19" s="1">
        <v>30724.974416163735</v>
      </c>
      <c r="GE19" s="1">
        <v>28396.535556645413</v>
      </c>
      <c r="GF19" s="1">
        <v>23642.826852976912</v>
      </c>
      <c r="GG19" s="1">
        <v>20751.515185601798</v>
      </c>
      <c r="GH19" s="1">
        <v>25171.357407407406</v>
      </c>
      <c r="GI19" s="1">
        <v>21285.884386174017</v>
      </c>
      <c r="GJ19" s="9">
        <v>27565.933615447422</v>
      </c>
      <c r="GK19" s="1"/>
      <c r="GL19" s="1">
        <v>135352.9411764706</v>
      </c>
      <c r="GM19" s="1">
        <v>35447.463961407491</v>
      </c>
      <c r="GN19" s="1">
        <v>21602.982319365168</v>
      </c>
      <c r="GO19" s="1">
        <v>22075.181070597362</v>
      </c>
      <c r="GP19" s="1">
        <v>27354.594646271511</v>
      </c>
      <c r="GQ19" s="1">
        <v>27037.564287430905</v>
      </c>
      <c r="GR19" s="1">
        <v>23283.580099502487</v>
      </c>
      <c r="GS19" s="1">
        <v>27504.331510594668</v>
      </c>
      <c r="GT19" s="1">
        <v>23275.062096966802</v>
      </c>
      <c r="GU19" s="1">
        <v>26719.338143595225</v>
      </c>
      <c r="GV19" s="1">
        <v>27176.540367705835</v>
      </c>
      <c r="GW19" s="1">
        <v>30787.34222045364</v>
      </c>
      <c r="GX19" s="1">
        <v>28856.8876953125</v>
      </c>
      <c r="GY19" s="1">
        <v>23622.794242681892</v>
      </c>
      <c r="GZ19" s="1">
        <v>20865.296063890473</v>
      </c>
      <c r="HA19" s="1">
        <v>25117.102996254682</v>
      </c>
      <c r="HB19" s="1">
        <v>21281.631028747921</v>
      </c>
      <c r="HC19" s="9">
        <v>32197.684348661707</v>
      </c>
      <c r="HD19" s="1"/>
      <c r="HE19" s="1">
        <v>135352.9411764706</v>
      </c>
      <c r="HF19" s="1">
        <v>35468.961734693876</v>
      </c>
      <c r="HG19" s="1">
        <v>21615.408567863578</v>
      </c>
      <c r="HH19" s="1">
        <v>22338.167328850857</v>
      </c>
      <c r="HI19" s="1">
        <v>27351.290630975145</v>
      </c>
      <c r="HJ19" s="1">
        <v>26543.926014319808</v>
      </c>
      <c r="HK19" s="1">
        <v>23294.088170756033</v>
      </c>
      <c r="HL19" s="1">
        <v>27500.269145488659</v>
      </c>
      <c r="HM19" s="1">
        <v>23258.689466158245</v>
      </c>
      <c r="HN19" s="1">
        <v>26646.292014938645</v>
      </c>
      <c r="HO19" s="1">
        <v>27277.200000000001</v>
      </c>
      <c r="HP19" s="1">
        <v>30705.004845468833</v>
      </c>
      <c r="HQ19" s="1">
        <v>28828.136474016512</v>
      </c>
      <c r="HR19" s="1">
        <v>23596.394877397426</v>
      </c>
      <c r="HS19" s="1">
        <v>20951.883211678833</v>
      </c>
      <c r="HT19" s="1">
        <v>25129.626168224298</v>
      </c>
      <c r="HU19" s="1">
        <v>21186.331593927895</v>
      </c>
      <c r="HV19" s="9">
        <v>32179.094789484079</v>
      </c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</row>
    <row r="20" spans="1:249" hidden="1" x14ac:dyDescent="0.4">
      <c r="A20" t="s">
        <v>49</v>
      </c>
      <c r="B20" t="s">
        <v>47</v>
      </c>
      <c r="C20" s="1"/>
      <c r="D20" s="1"/>
      <c r="E20" s="1">
        <v>115647.42528735632</v>
      </c>
      <c r="F20" s="1">
        <v>102612.94780058651</v>
      </c>
      <c r="G20" s="1">
        <v>111283.22162162162</v>
      </c>
      <c r="H20" s="1">
        <v>99763.201612903227</v>
      </c>
      <c r="I20" s="1">
        <v>94939.602846054331</v>
      </c>
      <c r="J20" s="1">
        <v>96514.731543624162</v>
      </c>
      <c r="K20" s="1">
        <v>107324.56627592426</v>
      </c>
      <c r="L20" s="1">
        <v>97542.402896081767</v>
      </c>
      <c r="M20" s="1">
        <v>97777.468547641067</v>
      </c>
      <c r="N20" s="1">
        <v>118272.11177884616</v>
      </c>
      <c r="O20" s="1">
        <v>105509.10324729393</v>
      </c>
      <c r="P20" s="1">
        <v>107908.13729508196</v>
      </c>
      <c r="Q20" s="1">
        <v>108822.46380429355</v>
      </c>
      <c r="R20" s="1">
        <v>88825.693641618491</v>
      </c>
      <c r="S20" s="1">
        <v>98359.518750000003</v>
      </c>
      <c r="T20" s="1">
        <v>92540.91849529781</v>
      </c>
      <c r="U20" s="9">
        <v>102727.71971526409</v>
      </c>
      <c r="V20" s="1"/>
      <c r="W20" s="1"/>
      <c r="X20" s="1">
        <v>116057.95189873417</v>
      </c>
      <c r="Y20" s="1">
        <v>102432.32099479467</v>
      </c>
      <c r="Z20" s="1">
        <v>111341.91651651652</v>
      </c>
      <c r="AA20" s="1">
        <v>95983.362903225803</v>
      </c>
      <c r="AB20" s="1">
        <v>94859.428754813867</v>
      </c>
      <c r="AC20" s="1">
        <v>96529.427852348992</v>
      </c>
      <c r="AD20" s="1">
        <v>107540.85341726619</v>
      </c>
      <c r="AE20" s="1">
        <v>97622.634517766492</v>
      </c>
      <c r="AF20" s="1">
        <v>97654.287234042553</v>
      </c>
      <c r="AG20" s="1">
        <v>119577.16105769231</v>
      </c>
      <c r="AH20" s="1">
        <v>105586.12725779967</v>
      </c>
      <c r="AI20" s="1">
        <v>107894.53169734152</v>
      </c>
      <c r="AJ20" s="1">
        <v>108522.60687593423</v>
      </c>
      <c r="AK20" s="1">
        <v>88761.549707602346</v>
      </c>
      <c r="AL20" s="1">
        <v>97890.775757575757</v>
      </c>
      <c r="AM20" s="1">
        <v>93595.210355987059</v>
      </c>
      <c r="AN20" s="9">
        <v>102615.63417496513</v>
      </c>
      <c r="AO20" s="1"/>
      <c r="AP20" s="1">
        <v>400000</v>
      </c>
      <c r="AQ20" s="1">
        <v>116506.1802252816</v>
      </c>
      <c r="AR20" s="1">
        <v>101104.21432632177</v>
      </c>
      <c r="AS20" s="1">
        <v>111105.07784431138</v>
      </c>
      <c r="AT20" s="1">
        <v>95160.082706766916</v>
      </c>
      <c r="AU20" s="1">
        <v>95951.599246231155</v>
      </c>
      <c r="AV20" s="1">
        <v>96284.882059800671</v>
      </c>
      <c r="AW20" s="1">
        <v>107841.22826086957</v>
      </c>
      <c r="AX20" s="1">
        <v>97622.699159663869</v>
      </c>
      <c r="AY20" s="1">
        <v>97607.403810408927</v>
      </c>
      <c r="AZ20" s="1">
        <v>120025.68496420048</v>
      </c>
      <c r="BA20" s="1">
        <v>103900.3982581156</v>
      </c>
      <c r="BB20" s="1">
        <v>106551.17311608962</v>
      </c>
      <c r="BC20" s="1">
        <v>108590.47956131605</v>
      </c>
      <c r="BD20" s="1">
        <v>88730.555555555562</v>
      </c>
      <c r="BE20" s="1">
        <v>97942.569696969702</v>
      </c>
      <c r="BF20" s="1">
        <v>92534.734453781508</v>
      </c>
      <c r="BG20" s="9">
        <v>119850.52724974614</v>
      </c>
      <c r="BH20" s="1"/>
      <c r="BI20" s="1">
        <v>400000</v>
      </c>
      <c r="BJ20" s="1">
        <v>116270.85714285714</v>
      </c>
      <c r="BK20" s="1">
        <v>102518.26463834672</v>
      </c>
      <c r="BL20" s="1">
        <v>111263.37380382775</v>
      </c>
      <c r="BM20" s="1">
        <v>94801.4921875</v>
      </c>
      <c r="BN20" s="1">
        <v>95992.07950310559</v>
      </c>
      <c r="BO20" s="1">
        <v>96136.674380165292</v>
      </c>
      <c r="BP20" s="1">
        <v>107661.78079710146</v>
      </c>
      <c r="BQ20" s="1">
        <v>98919.997536945812</v>
      </c>
      <c r="BR20" s="1">
        <v>97559.816393442627</v>
      </c>
      <c r="BS20" s="1">
        <v>121010.25578562729</v>
      </c>
      <c r="BT20" s="1">
        <v>105075.67914012739</v>
      </c>
      <c r="BU20" s="1">
        <v>104740.24547283702</v>
      </c>
      <c r="BV20" s="1">
        <v>108514.56573705179</v>
      </c>
      <c r="BW20" s="1">
        <v>90052.717948717953</v>
      </c>
      <c r="BX20" s="1">
        <v>97690.670658682633</v>
      </c>
      <c r="BY20" s="1">
        <v>92501.121008403366</v>
      </c>
      <c r="BZ20" s="9">
        <v>120041.74071380826</v>
      </c>
      <c r="CA20" s="1"/>
      <c r="CB20" s="1">
        <v>400000</v>
      </c>
      <c r="CC20" s="1">
        <v>116977.71534653465</v>
      </c>
      <c r="CD20" s="1">
        <v>102616.37535816619</v>
      </c>
      <c r="CE20" s="1">
        <v>111119.89341317365</v>
      </c>
      <c r="CF20" s="1">
        <v>95396.546153846153</v>
      </c>
      <c r="CG20" s="1">
        <v>95586.770700636946</v>
      </c>
      <c r="CH20" s="1">
        <v>96742.507462686568</v>
      </c>
      <c r="CI20" s="1">
        <v>107705.28947368421</v>
      </c>
      <c r="CJ20" s="1">
        <v>99119.368421052626</v>
      </c>
      <c r="CK20" s="1">
        <v>97246.694955209809</v>
      </c>
      <c r="CL20" s="1">
        <v>121558.41463414633</v>
      </c>
      <c r="CM20" s="1">
        <v>105130.55175159236</v>
      </c>
      <c r="CN20" s="1">
        <v>103975.75551102204</v>
      </c>
      <c r="CO20" s="1">
        <v>108862.58687068115</v>
      </c>
      <c r="CP20" s="1">
        <v>88540.816666666666</v>
      </c>
      <c r="CQ20" s="1">
        <v>97690.670658682633</v>
      </c>
      <c r="CR20" s="1">
        <v>92530.247474747477</v>
      </c>
      <c r="CS20" s="9">
        <v>120047.07087367818</v>
      </c>
      <c r="CT20" s="1"/>
      <c r="CU20" s="1">
        <v>400000</v>
      </c>
      <c r="CV20" s="1">
        <v>117107.49325153374</v>
      </c>
      <c r="CW20" s="1">
        <v>102600.56906392695</v>
      </c>
      <c r="CX20" s="1">
        <v>111075.55542240862</v>
      </c>
      <c r="CY20" s="1">
        <v>95933.589552238802</v>
      </c>
      <c r="CZ20" s="1">
        <v>95309.406887755104</v>
      </c>
      <c r="DA20" s="1">
        <v>97215.381666666668</v>
      </c>
      <c r="DB20" s="1">
        <v>107737.56148282098</v>
      </c>
      <c r="DC20" s="1">
        <v>102371.52276422764</v>
      </c>
      <c r="DD20" s="1">
        <v>97376.215639810427</v>
      </c>
      <c r="DE20" s="1">
        <v>122013.75946275947</v>
      </c>
      <c r="DF20" s="1">
        <v>104960.86898184688</v>
      </c>
      <c r="DG20" s="1">
        <v>102981.57429718875</v>
      </c>
      <c r="DH20" s="1">
        <v>109353.39659367397</v>
      </c>
      <c r="DI20" s="1">
        <v>88586.511111111118</v>
      </c>
      <c r="DJ20" s="1">
        <v>97810.577380952382</v>
      </c>
      <c r="DK20" s="1">
        <v>92581.121008403366</v>
      </c>
      <c r="DL20" s="9">
        <v>120295.0061510191</v>
      </c>
      <c r="DM20" s="1"/>
      <c r="DN20" s="1">
        <v>400000</v>
      </c>
      <c r="DO20" s="1">
        <v>116879.10864197531</v>
      </c>
      <c r="DP20" s="1">
        <v>102684.71501998858</v>
      </c>
      <c r="DQ20" s="1">
        <v>110157.00843373494</v>
      </c>
      <c r="DR20" s="1">
        <v>95933.589552238802</v>
      </c>
      <c r="DS20" s="1">
        <v>95469.66624203822</v>
      </c>
      <c r="DT20" s="1">
        <v>97407.955149501664</v>
      </c>
      <c r="DU20" s="1">
        <v>107742.93761301989</v>
      </c>
      <c r="DV20" s="1">
        <v>111069.55760368664</v>
      </c>
      <c r="DW20" s="1">
        <v>97634.39336492891</v>
      </c>
      <c r="DX20" s="1">
        <v>123366.33498759306</v>
      </c>
      <c r="DY20" s="1">
        <v>104855.28571428571</v>
      </c>
      <c r="DZ20" s="1">
        <v>105483.70221327968</v>
      </c>
      <c r="EA20" s="1">
        <v>109461.30645944634</v>
      </c>
      <c r="EB20" s="1">
        <v>88599.558333333334</v>
      </c>
      <c r="EC20" s="1">
        <v>98092.491124260356</v>
      </c>
      <c r="ED20" s="1">
        <v>92860.601680672262</v>
      </c>
      <c r="EE20" s="9">
        <v>121041.07130199907</v>
      </c>
      <c r="EF20" s="1"/>
      <c r="EG20" s="1">
        <v>400000</v>
      </c>
      <c r="EH20" s="1">
        <v>116837.34975369458</v>
      </c>
      <c r="EI20" s="1">
        <v>101843.91704545454</v>
      </c>
      <c r="EJ20" s="1">
        <v>110225.72771084338</v>
      </c>
      <c r="EK20" s="1">
        <v>95919.266666666663</v>
      </c>
      <c r="EL20" s="1">
        <v>95670.12086513995</v>
      </c>
      <c r="EM20" s="1">
        <v>97467.716193656088</v>
      </c>
      <c r="EN20" s="1">
        <v>107989.32818181819</v>
      </c>
      <c r="EO20" s="1">
        <v>105991.29756468798</v>
      </c>
      <c r="EP20" s="1">
        <v>97657.436018957349</v>
      </c>
      <c r="EQ20" s="1">
        <v>123566.45285359802</v>
      </c>
      <c r="ER20" s="1">
        <v>104284.51515151515</v>
      </c>
      <c r="ES20" s="1">
        <v>105342.31536926147</v>
      </c>
      <c r="ET20" s="1">
        <v>109292.00581959262</v>
      </c>
      <c r="EU20" s="1">
        <v>88906.257617728537</v>
      </c>
      <c r="EV20" s="1">
        <v>97899.075144508664</v>
      </c>
      <c r="EW20" s="1">
        <v>92846.74161073826</v>
      </c>
      <c r="EX20" s="9">
        <v>120690.56020987418</v>
      </c>
      <c r="EY20" s="1"/>
      <c r="EZ20" s="1">
        <v>400000</v>
      </c>
      <c r="FA20" s="1">
        <v>116810.35424354243</v>
      </c>
      <c r="FB20" s="1">
        <v>102426.47389791183</v>
      </c>
      <c r="FC20" s="1">
        <v>110209.00604229607</v>
      </c>
      <c r="FD20" s="1">
        <v>95741.311594202896</v>
      </c>
      <c r="FE20" s="1">
        <v>95790.531645569616</v>
      </c>
      <c r="FF20" s="1">
        <v>97283.574675324679</v>
      </c>
      <c r="FG20" s="1">
        <v>107986.15050784856</v>
      </c>
      <c r="FH20" s="1">
        <v>104777.40318906606</v>
      </c>
      <c r="FI20" s="1">
        <v>97583.084354382663</v>
      </c>
      <c r="FJ20" s="1">
        <v>123725.58859975217</v>
      </c>
      <c r="FK20" s="1">
        <v>104779.24595219738</v>
      </c>
      <c r="FL20" s="1">
        <v>104759.93650793651</v>
      </c>
      <c r="FM20" s="1">
        <v>109219.84507722007</v>
      </c>
      <c r="FN20" s="1">
        <v>88393.679758308164</v>
      </c>
      <c r="FO20" s="1">
        <v>97453.462427745661</v>
      </c>
      <c r="FP20" s="1">
        <v>92858.458193979939</v>
      </c>
      <c r="FQ20" s="9">
        <v>120576.35921572264</v>
      </c>
      <c r="FR20" s="1"/>
      <c r="FS20" s="1">
        <v>400000</v>
      </c>
      <c r="FT20" s="1">
        <v>116960.7496917386</v>
      </c>
      <c r="FU20" s="1">
        <v>102525.82229965157</v>
      </c>
      <c r="FV20" s="1">
        <v>110351.3</v>
      </c>
      <c r="FW20" s="1">
        <v>95919.266666666663</v>
      </c>
      <c r="FX20" s="1">
        <v>95812.035398230088</v>
      </c>
      <c r="FY20" s="1">
        <v>97275.713821138212</v>
      </c>
      <c r="FZ20" s="1">
        <v>107979.66420664206</v>
      </c>
      <c r="GA20" s="1">
        <v>104147.17210682493</v>
      </c>
      <c r="GB20" s="1">
        <v>97642.822808671059</v>
      </c>
      <c r="GC20" s="1">
        <v>134586.2391033624</v>
      </c>
      <c r="GD20" s="1">
        <v>105003.64687975647</v>
      </c>
      <c r="GE20" s="1">
        <v>104519.74701195219</v>
      </c>
      <c r="GF20" s="1">
        <v>109042.17448042532</v>
      </c>
      <c r="GG20" s="1">
        <v>88424.722891566271</v>
      </c>
      <c r="GH20" s="1">
        <v>97379.591954022995</v>
      </c>
      <c r="GI20" s="1">
        <v>92650.130148270182</v>
      </c>
      <c r="GJ20" s="9">
        <v>121189.45879228937</v>
      </c>
      <c r="GK20" s="1"/>
      <c r="GL20" s="1">
        <v>400000</v>
      </c>
      <c r="GM20" s="1">
        <v>117669.53078817733</v>
      </c>
      <c r="GN20" s="1">
        <v>102688.38262910797</v>
      </c>
      <c r="GO20" s="1">
        <v>110387.01587301587</v>
      </c>
      <c r="GP20" s="1">
        <v>95905.154411764699</v>
      </c>
      <c r="GQ20" s="1">
        <v>95912.634980988587</v>
      </c>
      <c r="GR20" s="1">
        <v>97282.188311688311</v>
      </c>
      <c r="GS20" s="1">
        <v>108042.0331797235</v>
      </c>
      <c r="GT20" s="1">
        <v>103677.74799708667</v>
      </c>
      <c r="GU20" s="1">
        <v>97749.459039548019</v>
      </c>
      <c r="GV20" s="1">
        <v>134720.8592777086</v>
      </c>
      <c r="GW20" s="1">
        <v>105035.87846153846</v>
      </c>
      <c r="GX20" s="1">
        <v>104216.29116465863</v>
      </c>
      <c r="GY20" s="1">
        <v>109124.38268021288</v>
      </c>
      <c r="GZ20" s="1">
        <v>88509.662650602404</v>
      </c>
      <c r="HA20" s="1">
        <v>97379.591954022995</v>
      </c>
      <c r="HB20" s="1">
        <v>91960.07202680067</v>
      </c>
      <c r="HC20" s="9">
        <v>121191.8167898027</v>
      </c>
      <c r="HD20" s="1"/>
      <c r="HE20" s="1">
        <v>400000</v>
      </c>
      <c r="HF20" s="1">
        <v>117771.8281829419</v>
      </c>
      <c r="HG20" s="1">
        <v>102750.7360047142</v>
      </c>
      <c r="HH20" s="1">
        <v>110513.01538461538</v>
      </c>
      <c r="HI20" s="1">
        <v>95905.154411764699</v>
      </c>
      <c r="HJ20" s="1">
        <v>95968.123724489793</v>
      </c>
      <c r="HK20" s="1">
        <v>97297.448051948057</v>
      </c>
      <c r="HL20" s="1">
        <v>108102.11834862386</v>
      </c>
      <c r="HM20" s="1">
        <v>103822.68922852984</v>
      </c>
      <c r="HN20" s="1">
        <v>97934.027621722853</v>
      </c>
      <c r="HO20" s="1">
        <v>134671.40470297029</v>
      </c>
      <c r="HP20" s="1">
        <v>104971.66819571865</v>
      </c>
      <c r="HQ20" s="1">
        <v>104236.84708249498</v>
      </c>
      <c r="HR20" s="1">
        <v>109133.87276245767</v>
      </c>
      <c r="HS20" s="1">
        <v>88493.075528700909</v>
      </c>
      <c r="HT20" s="1">
        <v>97379.591954022995</v>
      </c>
      <c r="HU20" s="1">
        <v>92394.570491803272</v>
      </c>
      <c r="HV20" s="9">
        <v>121255.65715750115</v>
      </c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</row>
    <row r="21" spans="1:249" s="6" customFormat="1" hidden="1" x14ac:dyDescent="0.4">
      <c r="A21" s="6" t="s">
        <v>49</v>
      </c>
      <c r="B21" s="6" t="s">
        <v>12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9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9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9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9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9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9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9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9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9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9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9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9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</row>
    <row r="22" spans="1:249" hidden="1" x14ac:dyDescent="0.4">
      <c r="A22" t="s">
        <v>49</v>
      </c>
      <c r="B22" t="s">
        <v>10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9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9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9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9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9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9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9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9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9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9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9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9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</row>
    <row r="23" spans="1:249" hidden="1" x14ac:dyDescent="0.4">
      <c r="A23" t="s">
        <v>49</v>
      </c>
      <c r="B23" t="s">
        <v>11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9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9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9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9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9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9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9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9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9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9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9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9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</row>
    <row r="24" spans="1:249" s="6" customFormat="1" hidden="1" x14ac:dyDescent="0.4">
      <c r="A24" s="6" t="s">
        <v>49</v>
      </c>
      <c r="B24" s="6" t="s">
        <v>31</v>
      </c>
      <c r="C24" s="7">
        <v>100174.4270157529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9">
        <v>100174.4270157529</v>
      </c>
      <c r="V24" s="7">
        <v>101475.14285556396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9">
        <v>101475.14285556396</v>
      </c>
      <c r="AO24" s="7">
        <v>101408.6447348965</v>
      </c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9">
        <v>101408.6447348965</v>
      </c>
      <c r="BH24" s="7">
        <v>101687.8342860444</v>
      </c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9">
        <v>101687.8342860444</v>
      </c>
      <c r="CA24" s="7">
        <v>101714.76066559828</v>
      </c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9">
        <v>101714.76066559828</v>
      </c>
      <c r="CT24" s="7">
        <v>101932.18271752108</v>
      </c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9">
        <v>101932.18271752108</v>
      </c>
      <c r="DM24" s="7">
        <v>102014.77112303746</v>
      </c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9">
        <v>102014.77112303746</v>
      </c>
      <c r="EF24" s="7">
        <v>102123.60277774849</v>
      </c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9">
        <v>102123.60277774849</v>
      </c>
      <c r="EY24" s="7">
        <v>102355.25721459335</v>
      </c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9">
        <v>102355.25721459335</v>
      </c>
      <c r="FR24" s="7">
        <v>102727.01770575986</v>
      </c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9">
        <v>102727.01770575986</v>
      </c>
      <c r="GK24" s="7">
        <v>102909.45140250404</v>
      </c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9">
        <v>102909.45140250404</v>
      </c>
      <c r="HD24" s="7">
        <v>102977.36471042014</v>
      </c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9">
        <v>102977.36471042014</v>
      </c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</row>
    <row r="25" spans="1:249" hidden="1" x14ac:dyDescent="0.4">
      <c r="A25" t="s">
        <v>49</v>
      </c>
      <c r="B25" t="s">
        <v>32</v>
      </c>
      <c r="C25" s="1"/>
      <c r="D25" s="1">
        <v>220047.7308475702</v>
      </c>
      <c r="E25" s="1">
        <v>141366.53356850828</v>
      </c>
      <c r="F25" s="1">
        <v>144306.73453773186</v>
      </c>
      <c r="G25" s="1">
        <v>144188.47880101707</v>
      </c>
      <c r="H25" s="1">
        <v>109433.53389953215</v>
      </c>
      <c r="I25" s="1">
        <v>104476.23580561129</v>
      </c>
      <c r="J25" s="1">
        <v>121791.82520778831</v>
      </c>
      <c r="K25" s="1">
        <v>126145.28832267784</v>
      </c>
      <c r="L25" s="1">
        <v>123395.43655132847</v>
      </c>
      <c r="M25" s="1">
        <v>150533.25118474624</v>
      </c>
      <c r="N25" s="1">
        <v>121384.97160461913</v>
      </c>
      <c r="O25" s="1">
        <v>128180.16533088831</v>
      </c>
      <c r="P25" s="1">
        <v>107128.56510231212</v>
      </c>
      <c r="Q25" s="1">
        <v>164692.12723934997</v>
      </c>
      <c r="R25" s="1">
        <v>94135.917151734568</v>
      </c>
      <c r="S25" s="1">
        <v>94080.637821173048</v>
      </c>
      <c r="T25" s="1">
        <v>120236.06885617739</v>
      </c>
      <c r="U25" s="9">
        <v>130324.91187251564</v>
      </c>
      <c r="V25" s="1"/>
      <c r="W25" s="1">
        <v>220384.00895766658</v>
      </c>
      <c r="X25" s="1">
        <v>142731.63947784176</v>
      </c>
      <c r="Y25" s="1">
        <v>144936.22387503422</v>
      </c>
      <c r="Z25" s="1">
        <v>144293.30303143751</v>
      </c>
      <c r="AA25" s="1">
        <v>110577.9471663233</v>
      </c>
      <c r="AB25" s="1">
        <v>104761.28497990429</v>
      </c>
      <c r="AC25" s="1">
        <v>122185.96234175278</v>
      </c>
      <c r="AD25" s="1">
        <v>126512.09060565358</v>
      </c>
      <c r="AE25" s="1">
        <v>123246.44664734004</v>
      </c>
      <c r="AF25" s="1">
        <v>151292.09082469859</v>
      </c>
      <c r="AG25" s="1">
        <v>121870.40728766362</v>
      </c>
      <c r="AH25" s="1">
        <v>128545.84559843545</v>
      </c>
      <c r="AI25" s="1">
        <v>107075.78288289516</v>
      </c>
      <c r="AJ25" s="1">
        <v>165040.09485437805</v>
      </c>
      <c r="AK25" s="1">
        <v>94168.080640481203</v>
      </c>
      <c r="AL25" s="1">
        <v>94411.139259588672</v>
      </c>
      <c r="AM25" s="1">
        <v>120120.26788688595</v>
      </c>
      <c r="AN25" s="9">
        <v>130714.85978341066</v>
      </c>
      <c r="AO25" s="1"/>
      <c r="AP25" s="1">
        <v>217974.91129844895</v>
      </c>
      <c r="AQ25" s="1">
        <v>143429.1210512362</v>
      </c>
      <c r="AR25" s="1">
        <v>145294.37874099138</v>
      </c>
      <c r="AS25" s="1">
        <v>144917.90402059036</v>
      </c>
      <c r="AT25" s="1">
        <v>110628.53518471606</v>
      </c>
      <c r="AU25" s="1">
        <v>106824.64690636138</v>
      </c>
      <c r="AV25" s="1">
        <v>122357.04464240564</v>
      </c>
      <c r="AW25" s="1">
        <v>127472.02073490289</v>
      </c>
      <c r="AX25" s="1">
        <v>123067.9732442033</v>
      </c>
      <c r="AY25" s="1">
        <v>155115.12232210665</v>
      </c>
      <c r="AZ25" s="1">
        <v>122388.8526771457</v>
      </c>
      <c r="BA25" s="1">
        <v>128662.81533047145</v>
      </c>
      <c r="BB25" s="1">
        <v>107900.08103942261</v>
      </c>
      <c r="BC25" s="1">
        <v>165893.52704649381</v>
      </c>
      <c r="BD25" s="1">
        <v>94513.043156417189</v>
      </c>
      <c r="BE25" s="1">
        <v>94530.629259716894</v>
      </c>
      <c r="BF25" s="1">
        <v>120216.08434041734</v>
      </c>
      <c r="BG25" s="9">
        <v>131246.27594094398</v>
      </c>
      <c r="BH25" s="1"/>
      <c r="BI25" s="1">
        <v>221322.52600753959</v>
      </c>
      <c r="BJ25" s="1">
        <v>144662.14247241453</v>
      </c>
      <c r="BK25" s="1">
        <v>145800.35898622009</v>
      </c>
      <c r="BL25" s="1">
        <v>144959.40431121751</v>
      </c>
      <c r="BM25" s="1">
        <v>110934.76057714864</v>
      </c>
      <c r="BN25" s="1">
        <v>106966.47947105143</v>
      </c>
      <c r="BO25" s="1">
        <v>121968.94771110667</v>
      </c>
      <c r="BP25" s="1">
        <v>128215.48294138804</v>
      </c>
      <c r="BQ25" s="1">
        <v>119207.07234126207</v>
      </c>
      <c r="BR25" s="1">
        <v>155333.09385868217</v>
      </c>
      <c r="BS25" s="1">
        <v>124809.96238655261</v>
      </c>
      <c r="BT25" s="1">
        <v>128690.18410870228</v>
      </c>
      <c r="BU25" s="1">
        <v>108271.96676314273</v>
      </c>
      <c r="BV25" s="1">
        <v>167032.0190769347</v>
      </c>
      <c r="BW25" s="1">
        <v>95153.533040232505</v>
      </c>
      <c r="BX25" s="1">
        <v>94783.927255629795</v>
      </c>
      <c r="BY25" s="1">
        <v>120274.64602436584</v>
      </c>
      <c r="BZ25" s="9">
        <v>131669.79454903476</v>
      </c>
      <c r="CA25" s="1"/>
      <c r="CB25" s="1">
        <v>222813.41776796509</v>
      </c>
      <c r="CC25" s="1">
        <v>145081.70798032999</v>
      </c>
      <c r="CD25" s="1">
        <v>145956.89334086885</v>
      </c>
      <c r="CE25" s="1">
        <v>145044.59144206575</v>
      </c>
      <c r="CF25" s="1">
        <v>111142.1479037294</v>
      </c>
      <c r="CG25" s="1">
        <v>106900.2102273192</v>
      </c>
      <c r="CH25" s="1">
        <v>121976.47805515293</v>
      </c>
      <c r="CI25" s="1">
        <v>128432.43825181351</v>
      </c>
      <c r="CJ25" s="1">
        <v>124194.60410998331</v>
      </c>
      <c r="CK25" s="1">
        <v>155864.10819475417</v>
      </c>
      <c r="CL25" s="1">
        <v>124997.01485214802</v>
      </c>
      <c r="CM25" s="1">
        <v>128832.03972332804</v>
      </c>
      <c r="CN25" s="1">
        <v>108361.21288313491</v>
      </c>
      <c r="CO25" s="1">
        <v>167552.19647725919</v>
      </c>
      <c r="CP25" s="1">
        <v>95662.574038797829</v>
      </c>
      <c r="CQ25" s="1">
        <v>94913.434812310457</v>
      </c>
      <c r="CR25" s="1">
        <v>119836.21218987276</v>
      </c>
      <c r="CS25" s="9">
        <v>132209.48719122552</v>
      </c>
      <c r="CT25" s="1"/>
      <c r="CU25" s="1">
        <v>222873.57191047297</v>
      </c>
      <c r="CV25" s="1">
        <v>145102.04673358661</v>
      </c>
      <c r="CW25" s="1">
        <v>145864.91952468702</v>
      </c>
      <c r="CX25" s="1">
        <v>145430.90675149512</v>
      </c>
      <c r="CY25" s="1">
        <v>111360.01665430081</v>
      </c>
      <c r="CZ25" s="1">
        <v>107714.42007088453</v>
      </c>
      <c r="DA25" s="1">
        <v>121924.46476260062</v>
      </c>
      <c r="DB25" s="1">
        <v>128399.02911682795</v>
      </c>
      <c r="DC25" s="1">
        <v>125629.86296586978</v>
      </c>
      <c r="DD25" s="1">
        <v>155692.96583700393</v>
      </c>
      <c r="DE25" s="1">
        <v>125874.52649786296</v>
      </c>
      <c r="DF25" s="1">
        <v>129624.64497891301</v>
      </c>
      <c r="DG25" s="1">
        <v>108393.59983880255</v>
      </c>
      <c r="DH25" s="1">
        <v>169567.37873568645</v>
      </c>
      <c r="DI25" s="1">
        <v>95530.705216586866</v>
      </c>
      <c r="DJ25" s="1">
        <v>94360.479205689757</v>
      </c>
      <c r="DK25" s="1">
        <v>117985.18531139835</v>
      </c>
      <c r="DL25" s="9">
        <v>132431.10141839235</v>
      </c>
      <c r="DM25" s="1"/>
      <c r="DN25" s="1">
        <v>222508.46091772139</v>
      </c>
      <c r="DO25" s="1">
        <v>145483.96874995058</v>
      </c>
      <c r="DP25" s="1">
        <v>146033.15183761014</v>
      </c>
      <c r="DQ25" s="1">
        <v>145642.0415582706</v>
      </c>
      <c r="DR25" s="1">
        <v>111769.67524750489</v>
      </c>
      <c r="DS25" s="1">
        <v>107950.72141356753</v>
      </c>
      <c r="DT25" s="1">
        <v>121986.57018175135</v>
      </c>
      <c r="DU25" s="1">
        <v>128447.72781020227</v>
      </c>
      <c r="DV25" s="1">
        <v>125737.68668901925</v>
      </c>
      <c r="DW25" s="1">
        <v>155569.68220216696</v>
      </c>
      <c r="DX25" s="1">
        <v>127418.19173684619</v>
      </c>
      <c r="DY25" s="1">
        <v>129700.52245239315</v>
      </c>
      <c r="DZ25" s="1">
        <v>108421.85846098728</v>
      </c>
      <c r="EA25" s="1">
        <v>166494.13191423219</v>
      </c>
      <c r="EB25" s="1">
        <v>97288.238366550111</v>
      </c>
      <c r="EC25" s="1">
        <v>94367.256627627634</v>
      </c>
      <c r="ED25" s="1">
        <v>116089.6444547826</v>
      </c>
      <c r="EE25" s="9">
        <v>132406.44297771674</v>
      </c>
      <c r="EF25" s="1"/>
      <c r="EG25" s="1">
        <v>222419.77291455129</v>
      </c>
      <c r="EH25" s="1">
        <v>145711.3934684562</v>
      </c>
      <c r="EI25" s="1">
        <v>148046.96128869776</v>
      </c>
      <c r="EJ25" s="1">
        <v>145748.31125182446</v>
      </c>
      <c r="EK25" s="1">
        <v>111800.11295072077</v>
      </c>
      <c r="EL25" s="1">
        <v>107111.59876675317</v>
      </c>
      <c r="EM25" s="1">
        <v>122079.70418194325</v>
      </c>
      <c r="EN25" s="1">
        <v>128769.63899185741</v>
      </c>
      <c r="EO25" s="1">
        <v>125848.84874446485</v>
      </c>
      <c r="EP25" s="1">
        <v>155526.2373353343</v>
      </c>
      <c r="EQ25" s="1">
        <v>127734.45504883658</v>
      </c>
      <c r="ER25" s="1">
        <v>129885.31579127621</v>
      </c>
      <c r="ES25" s="1">
        <v>108672.68724587171</v>
      </c>
      <c r="ET25" s="1">
        <v>168505.52430082948</v>
      </c>
      <c r="EU25" s="1">
        <v>97489.014650326353</v>
      </c>
      <c r="EV25" s="1">
        <v>94451.818193467378</v>
      </c>
      <c r="EW25" s="1">
        <v>115981.29463461187</v>
      </c>
      <c r="EX25" s="9">
        <v>132693.09939763666</v>
      </c>
      <c r="EY25" s="1"/>
      <c r="EZ25" s="1">
        <v>223804.96788958728</v>
      </c>
      <c r="FA25" s="1">
        <v>145916.75982667724</v>
      </c>
      <c r="FB25" s="1">
        <v>148804.25259421233</v>
      </c>
      <c r="FC25" s="1">
        <v>146759.32192357068</v>
      </c>
      <c r="FD25" s="1">
        <v>111861.51483447062</v>
      </c>
      <c r="FE25" s="1">
        <v>107365.69930968304</v>
      </c>
      <c r="FF25" s="1">
        <v>122060.58402814966</v>
      </c>
      <c r="FG25" s="1">
        <v>129673.54206415646</v>
      </c>
      <c r="FH25" s="1">
        <v>125650.36158509318</v>
      </c>
      <c r="FI25" s="1">
        <v>155273.56740843691</v>
      </c>
      <c r="FJ25" s="1">
        <v>127856.48035871661</v>
      </c>
      <c r="FK25" s="1">
        <v>129802.29967328778</v>
      </c>
      <c r="FL25" s="1">
        <v>108726.54951680014</v>
      </c>
      <c r="FM25" s="1">
        <v>169021.57300869038</v>
      </c>
      <c r="FN25" s="1">
        <v>97701.062612296912</v>
      </c>
      <c r="FO25" s="1">
        <v>94445.944613963322</v>
      </c>
      <c r="FP25" s="1">
        <v>116425.66902328061</v>
      </c>
      <c r="FQ25" s="9">
        <v>133008.83236888665</v>
      </c>
      <c r="FR25" s="1"/>
      <c r="FS25" s="1">
        <v>224034.96541622223</v>
      </c>
      <c r="FT25" s="1">
        <v>145668.09105485919</v>
      </c>
      <c r="FU25" s="1">
        <v>149047.29281693671</v>
      </c>
      <c r="FV25" s="1">
        <v>144979.11006799608</v>
      </c>
      <c r="FW25" s="1">
        <v>111846.97019205331</v>
      </c>
      <c r="FX25" s="1">
        <v>106521.47048593608</v>
      </c>
      <c r="FY25" s="1">
        <v>122277.17293924616</v>
      </c>
      <c r="FZ25" s="1">
        <v>129828.05481230504</v>
      </c>
      <c r="GA25" s="1">
        <v>125702.87290744099</v>
      </c>
      <c r="GB25" s="1">
        <v>154128.81175133641</v>
      </c>
      <c r="GC25" s="1">
        <v>128236.81347833046</v>
      </c>
      <c r="GD25" s="1">
        <v>129323.81535065023</v>
      </c>
      <c r="GE25" s="1">
        <v>108566.03518045061</v>
      </c>
      <c r="GF25" s="1">
        <v>168680.40405061352</v>
      </c>
      <c r="GG25" s="1">
        <v>97880.754427005581</v>
      </c>
      <c r="GH25" s="1">
        <v>94286.14554876888</v>
      </c>
      <c r="GI25" s="1">
        <v>117690.85744227299</v>
      </c>
      <c r="GJ25" s="9">
        <v>132864.684583672</v>
      </c>
      <c r="GK25" s="1"/>
      <c r="GL25" s="1">
        <v>228256.18807870371</v>
      </c>
      <c r="GM25" s="1">
        <v>145526.8844322759</v>
      </c>
      <c r="GN25" s="1">
        <v>149111.84353254412</v>
      </c>
      <c r="GO25" s="1">
        <v>144831.8839619132</v>
      </c>
      <c r="GP25" s="1">
        <v>112071.05439088632</v>
      </c>
      <c r="GQ25" s="1">
        <v>106194.70013575048</v>
      </c>
      <c r="GR25" s="1">
        <v>122260.51681085223</v>
      </c>
      <c r="GS25" s="1">
        <v>130177.07706123847</v>
      </c>
      <c r="GT25" s="1">
        <v>125734.33571859903</v>
      </c>
      <c r="GU25" s="1">
        <v>153308.52825378045</v>
      </c>
      <c r="GV25" s="1">
        <v>128181.5026832469</v>
      </c>
      <c r="GW25" s="1">
        <v>129118.1394534728</v>
      </c>
      <c r="GX25" s="1">
        <v>108324.00331386819</v>
      </c>
      <c r="GY25" s="1">
        <v>169506.90106107373</v>
      </c>
      <c r="GZ25" s="1">
        <v>97901.115116967252</v>
      </c>
      <c r="HA25" s="1">
        <v>93960.43589845828</v>
      </c>
      <c r="HB25" s="1">
        <v>118480.55571931705</v>
      </c>
      <c r="HC25" s="9">
        <v>133114.45091899694</v>
      </c>
      <c r="HD25" s="1"/>
      <c r="HE25" s="1">
        <v>227163.64944488156</v>
      </c>
      <c r="HF25" s="1">
        <v>145487.50059038529</v>
      </c>
      <c r="HG25" s="1">
        <v>149481.00615291705</v>
      </c>
      <c r="HH25" s="1">
        <v>144591.80472672908</v>
      </c>
      <c r="HI25" s="1">
        <v>112080.04957592074</v>
      </c>
      <c r="HJ25" s="1">
        <v>106466.81527134178</v>
      </c>
      <c r="HK25" s="1">
        <v>122360.16813552189</v>
      </c>
      <c r="HL25" s="1">
        <v>130228.84271566158</v>
      </c>
      <c r="HM25" s="1">
        <v>125682.54254692049</v>
      </c>
      <c r="HN25" s="1">
        <v>153506.61274106873</v>
      </c>
      <c r="HO25" s="1">
        <v>127999.01591431699</v>
      </c>
      <c r="HP25" s="1">
        <v>129266.13533901768</v>
      </c>
      <c r="HQ25" s="1">
        <v>108256.6099785149</v>
      </c>
      <c r="HR25" s="1">
        <v>168863.796526238</v>
      </c>
      <c r="HS25" s="1">
        <v>97955.653412797546</v>
      </c>
      <c r="HT25" s="1">
        <v>93920.210619146543</v>
      </c>
      <c r="HU25" s="1">
        <v>117279.68078093306</v>
      </c>
      <c r="HV25" s="9">
        <v>132975.88791013605</v>
      </c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</row>
    <row r="26" spans="1:249" hidden="1" x14ac:dyDescent="0.4">
      <c r="A26" t="s">
        <v>49</v>
      </c>
      <c r="B26" t="s">
        <v>50</v>
      </c>
      <c r="C26" s="1"/>
      <c r="D26" s="1"/>
      <c r="E26" s="1">
        <v>47434.311445493375</v>
      </c>
      <c r="F26" s="1">
        <v>41371.852907193468</v>
      </c>
      <c r="G26" s="1">
        <v>44722.156734259799</v>
      </c>
      <c r="H26" s="1">
        <v>42543.051298353639</v>
      </c>
      <c r="I26" s="1">
        <v>39380.552230736059</v>
      </c>
      <c r="J26" s="1">
        <v>39898.357041479445</v>
      </c>
      <c r="K26" s="1">
        <v>44977.480796323704</v>
      </c>
      <c r="L26" s="1">
        <v>40299.013874801822</v>
      </c>
      <c r="M26" s="1">
        <v>41596.411762230942</v>
      </c>
      <c r="N26" s="1">
        <v>48741.839089458808</v>
      </c>
      <c r="O26" s="1">
        <v>45679.898718296958</v>
      </c>
      <c r="P26" s="1">
        <v>45465.177437625185</v>
      </c>
      <c r="Q26" s="1">
        <v>44272.291724310897</v>
      </c>
      <c r="R26" s="1">
        <v>36794.481327871916</v>
      </c>
      <c r="S26" s="1">
        <v>41267.354225077877</v>
      </c>
      <c r="T26" s="1">
        <v>37829.633212329987</v>
      </c>
      <c r="U26" s="9">
        <v>42642.116489115258</v>
      </c>
      <c r="V26" s="1"/>
      <c r="W26" s="1"/>
      <c r="X26" s="1">
        <v>47559.583966244718</v>
      </c>
      <c r="Y26" s="1">
        <v>41347.640684124664</v>
      </c>
      <c r="Z26" s="1">
        <v>44736.630698307563</v>
      </c>
      <c r="AA26" s="1">
        <v>40471.189290723305</v>
      </c>
      <c r="AB26" s="1">
        <v>39357.963444183981</v>
      </c>
      <c r="AC26" s="1">
        <v>39911.994119825358</v>
      </c>
      <c r="AD26" s="1">
        <v>45072.92353502076</v>
      </c>
      <c r="AE26" s="1">
        <v>40341.027556200141</v>
      </c>
      <c r="AF26" s="1">
        <v>41512.039790162598</v>
      </c>
      <c r="AG26" s="1">
        <v>49088.943980070188</v>
      </c>
      <c r="AH26" s="1">
        <v>45738.784428726212</v>
      </c>
      <c r="AI26" s="1">
        <v>45479.882725834759</v>
      </c>
      <c r="AJ26" s="1">
        <v>44149.416033405556</v>
      </c>
      <c r="AK26" s="1">
        <v>36774.472565552809</v>
      </c>
      <c r="AL26" s="1">
        <v>41062.966365744731</v>
      </c>
      <c r="AM26" s="1">
        <v>38146.748988605519</v>
      </c>
      <c r="AN26" s="9">
        <v>42547.013010795796</v>
      </c>
      <c r="AO26" s="1"/>
      <c r="AP26" s="1">
        <v>400000</v>
      </c>
      <c r="AQ26" s="1">
        <v>47678.07988759991</v>
      </c>
      <c r="AR26" s="1">
        <v>40892.617929357999</v>
      </c>
      <c r="AS26" s="1">
        <v>44606.309880957509</v>
      </c>
      <c r="AT26" s="1">
        <v>40943.18111978603</v>
      </c>
      <c r="AU26" s="1">
        <v>39703.130199556523</v>
      </c>
      <c r="AV26" s="1">
        <v>39794.919577932094</v>
      </c>
      <c r="AW26" s="1">
        <v>45126.953635424317</v>
      </c>
      <c r="AX26" s="1">
        <v>40313.525474901246</v>
      </c>
      <c r="AY26" s="1">
        <v>41506.034438102295</v>
      </c>
      <c r="AZ26" s="1">
        <v>49253.670605611675</v>
      </c>
      <c r="BA26" s="1">
        <v>45062.240822280342</v>
      </c>
      <c r="BB26" s="1">
        <v>45002.652423494234</v>
      </c>
      <c r="BC26" s="1">
        <v>44159.505509340233</v>
      </c>
      <c r="BD26" s="1">
        <v>36706.337286586124</v>
      </c>
      <c r="BE26" s="1">
        <v>41113.496412399865</v>
      </c>
      <c r="BF26" s="1">
        <v>37787.115886334825</v>
      </c>
      <c r="BG26" s="9">
        <v>49774.475780999906</v>
      </c>
      <c r="BH26" s="1"/>
      <c r="BI26" s="1">
        <v>400000</v>
      </c>
      <c r="BJ26" s="1">
        <v>50493.521622028085</v>
      </c>
      <c r="BK26" s="1">
        <v>41371.200223188367</v>
      </c>
      <c r="BL26" s="1">
        <v>44647.466870734461</v>
      </c>
      <c r="BM26" s="1">
        <v>40566.455650102784</v>
      </c>
      <c r="BN26" s="1">
        <v>39722.996304759406</v>
      </c>
      <c r="BO26" s="1">
        <v>39750.443383515332</v>
      </c>
      <c r="BP26" s="1">
        <v>45075.278814727273</v>
      </c>
      <c r="BQ26" s="1">
        <v>40754.601434194075</v>
      </c>
      <c r="BR26" s="1">
        <v>41484.27555782839</v>
      </c>
      <c r="BS26" s="1">
        <v>49557.698672471794</v>
      </c>
      <c r="BT26" s="1">
        <v>45374.24335192555</v>
      </c>
      <c r="BU26" s="1">
        <v>44359.797234664264</v>
      </c>
      <c r="BV26" s="1">
        <v>43993.926791218633</v>
      </c>
      <c r="BW26" s="1">
        <v>38354.507079130104</v>
      </c>
      <c r="BX26" s="1">
        <v>41033.101648132309</v>
      </c>
      <c r="BY26" s="1">
        <v>37795.315744372325</v>
      </c>
      <c r="BZ26" s="9">
        <v>50061.316145897537</v>
      </c>
      <c r="CA26" s="1"/>
      <c r="CB26" s="1">
        <v>400000</v>
      </c>
      <c r="CC26" s="1">
        <v>50732.361160515364</v>
      </c>
      <c r="CD26" s="1">
        <v>41400.680353069685</v>
      </c>
      <c r="CE26" s="1">
        <v>44600.744476361513</v>
      </c>
      <c r="CF26" s="1">
        <v>40779.168002750761</v>
      </c>
      <c r="CG26" s="1">
        <v>39592.723716954024</v>
      </c>
      <c r="CH26" s="1">
        <v>39977.278134989123</v>
      </c>
      <c r="CI26" s="1">
        <v>45101.630927992956</v>
      </c>
      <c r="CJ26" s="1">
        <v>40836.766013273649</v>
      </c>
      <c r="CK26" s="1">
        <v>41406.257496083148</v>
      </c>
      <c r="CL26" s="1">
        <v>49711.855023134012</v>
      </c>
      <c r="CM26" s="1">
        <v>45401.895833966344</v>
      </c>
      <c r="CN26" s="1">
        <v>44082.712606622539</v>
      </c>
      <c r="CO26" s="1">
        <v>44081.793407214835</v>
      </c>
      <c r="CP26" s="1">
        <v>36473.201312774174</v>
      </c>
      <c r="CQ26" s="1">
        <v>41003.721965592624</v>
      </c>
      <c r="CR26" s="1">
        <v>37808.813385103254</v>
      </c>
      <c r="CS26" s="9">
        <v>49979.077784677436</v>
      </c>
      <c r="CT26" s="1"/>
      <c r="CU26" s="1">
        <v>400000</v>
      </c>
      <c r="CV26" s="1">
        <v>50790.189992382329</v>
      </c>
      <c r="CW26" s="1">
        <v>41371.665858188418</v>
      </c>
      <c r="CX26" s="1">
        <v>44565.163489638864</v>
      </c>
      <c r="CY26" s="1">
        <v>41083.2065993285</v>
      </c>
      <c r="CZ26" s="1">
        <v>39437.253916866001</v>
      </c>
      <c r="DA26" s="1">
        <v>40120.022106314951</v>
      </c>
      <c r="DB26" s="1">
        <v>45061.192105316099</v>
      </c>
      <c r="DC26" s="1">
        <v>41909.72693976976</v>
      </c>
      <c r="DD26" s="1">
        <v>41391.422809963384</v>
      </c>
      <c r="DE26" s="1">
        <v>49748.708449989055</v>
      </c>
      <c r="DF26" s="1">
        <v>45254.670517376006</v>
      </c>
      <c r="DG26" s="1">
        <v>43738.363806258945</v>
      </c>
      <c r="DH26" s="1">
        <v>44187.131818768365</v>
      </c>
      <c r="DI26" s="1">
        <v>36455.200000000004</v>
      </c>
      <c r="DJ26" s="1">
        <v>40877.191234827267</v>
      </c>
      <c r="DK26" s="1">
        <v>37824.894802993244</v>
      </c>
      <c r="DL26" s="9">
        <v>50029.551292733537</v>
      </c>
      <c r="DM26" s="1"/>
      <c r="DN26" s="1">
        <v>228500</v>
      </c>
      <c r="DO26" s="1">
        <v>50686.985142529484</v>
      </c>
      <c r="DP26" s="1">
        <v>41404.364958633472</v>
      </c>
      <c r="DQ26" s="1">
        <v>44231.859723843118</v>
      </c>
      <c r="DR26" s="1">
        <v>41090.34278232191</v>
      </c>
      <c r="DS26" s="1">
        <v>40822.604823164933</v>
      </c>
      <c r="DT26" s="1">
        <v>40193.529094375546</v>
      </c>
      <c r="DU26" s="1">
        <v>45035.773834744432</v>
      </c>
      <c r="DV26" s="1">
        <v>44752.590571869594</v>
      </c>
      <c r="DW26" s="1">
        <v>41474.260008955258</v>
      </c>
      <c r="DX26" s="1">
        <v>50192.13150167311</v>
      </c>
      <c r="DY26" s="1">
        <v>45218.626890384556</v>
      </c>
      <c r="DZ26" s="1">
        <v>44553.497640775378</v>
      </c>
      <c r="EA26" s="1">
        <v>44376.918790958989</v>
      </c>
      <c r="EB26" s="1">
        <v>36431.201947341317</v>
      </c>
      <c r="EC26" s="1">
        <v>40963.431597995041</v>
      </c>
      <c r="ED26" s="1">
        <v>37947.1945907876</v>
      </c>
      <c r="EE26" s="9">
        <v>50502.518834021204</v>
      </c>
      <c r="EF26" s="1"/>
      <c r="EG26" s="1">
        <v>228500</v>
      </c>
      <c r="EH26" s="1">
        <v>50704.122829242689</v>
      </c>
      <c r="EI26" s="1">
        <v>41114.944707121023</v>
      </c>
      <c r="EJ26" s="1">
        <v>44350.680694959126</v>
      </c>
      <c r="EK26" s="1">
        <v>41096.806307435254</v>
      </c>
      <c r="EL26" s="1">
        <v>40911.196216523698</v>
      </c>
      <c r="EM26" s="1">
        <v>40224.640812894642</v>
      </c>
      <c r="EN26" s="1">
        <v>45084.684401204722</v>
      </c>
      <c r="EO26" s="1">
        <v>43072.856484696298</v>
      </c>
      <c r="EP26" s="1">
        <v>41490.291610256034</v>
      </c>
      <c r="EQ26" s="1">
        <v>50293.352045832107</v>
      </c>
      <c r="ER26" s="1">
        <v>44988.176836625644</v>
      </c>
      <c r="ES26" s="1">
        <v>44503.414389622842</v>
      </c>
      <c r="ET26" s="1">
        <v>44313.289256798082</v>
      </c>
      <c r="EU26" s="1">
        <v>36520.356384664512</v>
      </c>
      <c r="EV26" s="1">
        <v>40905.576920483858</v>
      </c>
      <c r="EW26" s="1">
        <v>37953.196025934711</v>
      </c>
      <c r="EX26" s="9">
        <v>50391.655155457716</v>
      </c>
      <c r="EY26" s="1"/>
      <c r="EZ26" s="1">
        <v>228500</v>
      </c>
      <c r="FA26" s="1">
        <v>50685.187419782749</v>
      </c>
      <c r="FB26" s="1">
        <v>41362.633367437236</v>
      </c>
      <c r="FC26" s="1">
        <v>44297.036187768157</v>
      </c>
      <c r="FD26" s="1">
        <v>41049.508983336047</v>
      </c>
      <c r="FE26" s="1">
        <v>40954.953900246241</v>
      </c>
      <c r="FF26" s="1">
        <v>40170.824984477847</v>
      </c>
      <c r="FG26" s="1">
        <v>45097.917599440756</v>
      </c>
      <c r="FH26" s="1">
        <v>42674.510577678433</v>
      </c>
      <c r="FI26" s="1">
        <v>41459.766149647032</v>
      </c>
      <c r="FJ26" s="1">
        <v>50294.661270839373</v>
      </c>
      <c r="FK26" s="1">
        <v>45156.406938242282</v>
      </c>
      <c r="FL26" s="1">
        <v>44365.716441980134</v>
      </c>
      <c r="FM26" s="1">
        <v>44289.897736497318</v>
      </c>
      <c r="FN26" s="1">
        <v>36371.617539556173</v>
      </c>
      <c r="FO26" s="1">
        <v>40737.892460338895</v>
      </c>
      <c r="FP26" s="1">
        <v>37961.741527512582</v>
      </c>
      <c r="FQ26" s="9">
        <v>50355.81638508688</v>
      </c>
      <c r="FR26" s="1"/>
      <c r="FS26" s="1">
        <v>228500</v>
      </c>
      <c r="FT26" s="1">
        <v>50759.081814950994</v>
      </c>
      <c r="FU26" s="1">
        <v>41354.921450954105</v>
      </c>
      <c r="FV26" s="1">
        <v>44253.506208448402</v>
      </c>
      <c r="FW26" s="1">
        <v>41117.127181418706</v>
      </c>
      <c r="FX26" s="1">
        <v>40936.365911343797</v>
      </c>
      <c r="FY26" s="1">
        <v>40187.258130324284</v>
      </c>
      <c r="FZ26" s="1">
        <v>45178.021321489803</v>
      </c>
      <c r="GA26" s="1">
        <v>42463.044444097221</v>
      </c>
      <c r="GB26" s="1">
        <v>41467.897362462922</v>
      </c>
      <c r="GC26" s="1">
        <v>53898.964094697236</v>
      </c>
      <c r="GD26" s="1">
        <v>45242.873765306744</v>
      </c>
      <c r="GE26" s="1">
        <v>44305.427522865873</v>
      </c>
      <c r="GF26" s="1">
        <v>44228.333777800748</v>
      </c>
      <c r="GG26" s="1">
        <v>36392.079359056021</v>
      </c>
      <c r="GH26" s="1">
        <v>40850.316453810134</v>
      </c>
      <c r="GI26" s="1">
        <v>37978.6715114814</v>
      </c>
      <c r="GJ26" s="9">
        <v>50576.833418630507</v>
      </c>
      <c r="GK26" s="1"/>
      <c r="GL26" s="1">
        <v>267676.4705882353</v>
      </c>
      <c r="GM26" s="1">
        <v>51038.998249861608</v>
      </c>
      <c r="GN26" s="1">
        <v>41430.454982824383</v>
      </c>
      <c r="GO26" s="1">
        <v>44154.065647871081</v>
      </c>
      <c r="GP26" s="1">
        <v>41086.583019345402</v>
      </c>
      <c r="GQ26" s="1">
        <v>40983.399756139836</v>
      </c>
      <c r="GR26" s="1">
        <v>40188.589470396932</v>
      </c>
      <c r="GS26" s="1">
        <v>45182.121563439396</v>
      </c>
      <c r="GT26" s="1">
        <v>42317.603364684495</v>
      </c>
      <c r="GU26" s="1">
        <v>41489.599061047746</v>
      </c>
      <c r="GV26" s="1">
        <v>53965.799881804815</v>
      </c>
      <c r="GW26" s="1">
        <v>45274.406893997366</v>
      </c>
      <c r="GX26" s="1">
        <v>44357.726286657038</v>
      </c>
      <c r="GY26" s="1">
        <v>44249.058974298263</v>
      </c>
      <c r="GZ26" s="1">
        <v>36458.319571497625</v>
      </c>
      <c r="HA26" s="1">
        <v>40832.231650092559</v>
      </c>
      <c r="HB26" s="1">
        <v>37747.234351849533</v>
      </c>
      <c r="HC26" s="9">
        <v>52152.430387077919</v>
      </c>
      <c r="HD26" s="1"/>
      <c r="HE26" s="1">
        <v>267676.4705882353</v>
      </c>
      <c r="HF26" s="1">
        <v>51080.263305878594</v>
      </c>
      <c r="HG26" s="1">
        <v>41455.381524192591</v>
      </c>
      <c r="HH26" s="1">
        <v>44283.72757115541</v>
      </c>
      <c r="HI26" s="1">
        <v>41085.481680913283</v>
      </c>
      <c r="HJ26" s="1">
        <v>40837.34991293653</v>
      </c>
      <c r="HK26" s="1">
        <v>40197.178740901363</v>
      </c>
      <c r="HL26" s="1">
        <v>45200.795831370837</v>
      </c>
      <c r="HM26" s="1">
        <v>42360.459564896031</v>
      </c>
      <c r="HN26" s="1">
        <v>41526.773212220498</v>
      </c>
      <c r="HO26" s="1">
        <v>53982.868234323432</v>
      </c>
      <c r="HP26" s="1">
        <v>45225.557680395832</v>
      </c>
      <c r="HQ26" s="1">
        <v>44354.994518837164</v>
      </c>
      <c r="HR26" s="1">
        <v>44243.422546618363</v>
      </c>
      <c r="HS26" s="1">
        <v>36481.652913459919</v>
      </c>
      <c r="HT26" s="1">
        <v>40836.406040749098</v>
      </c>
      <c r="HU26" s="1">
        <v>37860.300695243721</v>
      </c>
      <c r="HV26" s="9">
        <v>52167.815661974972</v>
      </c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</row>
    <row r="27" spans="1:249" hidden="1" x14ac:dyDescent="0.4">
      <c r="A27" t="s">
        <v>43</v>
      </c>
      <c r="B27" t="s">
        <v>33</v>
      </c>
      <c r="C27" s="1"/>
      <c r="D27" s="1">
        <v>190000</v>
      </c>
      <c r="E27" s="1">
        <v>429666.66666666669</v>
      </c>
      <c r="F27" s="1">
        <v>367895.39024390245</v>
      </c>
      <c r="G27" s="1">
        <v>260963.50819672132</v>
      </c>
      <c r="H27" s="1">
        <v>223848.48484848486</v>
      </c>
      <c r="I27" s="1">
        <v>209587.64285714287</v>
      </c>
      <c r="J27" s="1">
        <v>221632.20091324201</v>
      </c>
      <c r="K27" s="1">
        <v>235764.98507462686</v>
      </c>
      <c r="L27" s="1">
        <v>195690.14285714287</v>
      </c>
      <c r="M27" s="1">
        <v>264187.45977011492</v>
      </c>
      <c r="N27" s="1">
        <v>298482.95454545453</v>
      </c>
      <c r="O27" s="1">
        <v>255829.74545454545</v>
      </c>
      <c r="P27" s="1">
        <v>196033.24390243902</v>
      </c>
      <c r="Q27" s="1">
        <v>328721.44230769231</v>
      </c>
      <c r="R27" s="1">
        <v>210473.23529411765</v>
      </c>
      <c r="S27" s="1">
        <v>177054.14285714287</v>
      </c>
      <c r="T27" s="1">
        <v>191090.90909090909</v>
      </c>
      <c r="U27" s="9">
        <v>273157.0981873112</v>
      </c>
      <c r="V27" s="1"/>
      <c r="W27" s="1">
        <v>415000</v>
      </c>
      <c r="X27" s="1">
        <v>581946.875</v>
      </c>
      <c r="Y27" s="1">
        <v>210713.48484848486</v>
      </c>
      <c r="Z27" s="1">
        <v>201305.55555555556</v>
      </c>
      <c r="AA27" s="1">
        <v>279611.03278688522</v>
      </c>
      <c r="AB27" s="1">
        <v>210671.91304347827</v>
      </c>
      <c r="AC27" s="1">
        <v>204368.46428571429</v>
      </c>
      <c r="AD27" s="1">
        <v>295799.22916666669</v>
      </c>
      <c r="AE27" s="1">
        <v>206996.4347826087</v>
      </c>
      <c r="AF27" s="1">
        <v>341176.4705882353</v>
      </c>
      <c r="AG27" s="1">
        <v>248457</v>
      </c>
      <c r="AH27" s="1">
        <v>291959.72727272729</v>
      </c>
      <c r="AI27" s="1">
        <v>192392.93548387097</v>
      </c>
      <c r="AJ27" s="1">
        <v>208578.48484848486</v>
      </c>
      <c r="AK27" s="1">
        <v>185056.75</v>
      </c>
      <c r="AL27" s="1">
        <v>178939.36666666667</v>
      </c>
      <c r="AM27" s="1">
        <v>187363.63636363635</v>
      </c>
      <c r="AN27" s="9">
        <v>260385.17678571428</v>
      </c>
      <c r="AO27" s="1"/>
      <c r="AP27" s="1">
        <v>500000</v>
      </c>
      <c r="AQ27" s="1">
        <v>344479.72289156629</v>
      </c>
      <c r="AR27" s="1">
        <v>295508.26136363635</v>
      </c>
      <c r="AS27" s="1">
        <v>256386.61052631578</v>
      </c>
      <c r="AT27" s="1">
        <v>215742.85714285713</v>
      </c>
      <c r="AU27" s="1">
        <v>255741.10869565216</v>
      </c>
      <c r="AV27" s="1">
        <v>188322.28767123289</v>
      </c>
      <c r="AW27" s="1">
        <v>250161.46268656716</v>
      </c>
      <c r="AX27" s="1">
        <v>248114.48148148149</v>
      </c>
      <c r="AY27" s="1">
        <v>1406125</v>
      </c>
      <c r="AZ27" s="1">
        <v>263469.38775510201</v>
      </c>
      <c r="BA27" s="1">
        <v>219136.4</v>
      </c>
      <c r="BB27" s="1">
        <v>187002.78125</v>
      </c>
      <c r="BC27" s="1">
        <v>191750</v>
      </c>
      <c r="BD27" s="1">
        <v>183116.85714285713</v>
      </c>
      <c r="BE27" s="1">
        <v>179813.38461538462</v>
      </c>
      <c r="BF27" s="1">
        <v>198729.03225806452</v>
      </c>
      <c r="BG27" s="9">
        <v>315883.83058823529</v>
      </c>
      <c r="BH27" s="1"/>
      <c r="BI27" s="1">
        <v>530000</v>
      </c>
      <c r="BJ27" s="1">
        <v>229590.90909090909</v>
      </c>
      <c r="BK27" s="1">
        <v>241218.51456310679</v>
      </c>
      <c r="BL27" s="1">
        <v>270951.24390243902</v>
      </c>
      <c r="BM27" s="1">
        <v>199090.90322580645</v>
      </c>
      <c r="BN27" s="1">
        <v>204415.57142857142</v>
      </c>
      <c r="BO27" s="1">
        <v>308955.3</v>
      </c>
      <c r="BP27" s="1">
        <v>228465.67346938775</v>
      </c>
      <c r="BQ27" s="1">
        <v>333046.13432835822</v>
      </c>
      <c r="BR27" s="1">
        <v>281654.09756097558</v>
      </c>
      <c r="BS27" s="1">
        <v>220820.75471698114</v>
      </c>
      <c r="BT27" s="1">
        <v>214615.38461538462</v>
      </c>
      <c r="BU27" s="1">
        <v>191923.07692307694</v>
      </c>
      <c r="BV27" s="1">
        <v>230645.16129032258</v>
      </c>
      <c r="BW27" s="1">
        <v>186575.58333333334</v>
      </c>
      <c r="BX27" s="1">
        <v>182605.17073170733</v>
      </c>
      <c r="BY27" s="1">
        <v>181666.66666666666</v>
      </c>
      <c r="BZ27" s="9">
        <v>251750.08510638299</v>
      </c>
      <c r="CA27" s="1"/>
      <c r="CB27" s="1">
        <v>800000</v>
      </c>
      <c r="CC27" s="1">
        <v>280643.9375</v>
      </c>
      <c r="CD27" s="1">
        <v>211821.21666666667</v>
      </c>
      <c r="CE27" s="1">
        <v>198888.88888888888</v>
      </c>
      <c r="CF27" s="1">
        <v>199668.27027027027</v>
      </c>
      <c r="CG27" s="1">
        <v>213522.75</v>
      </c>
      <c r="CH27" s="1">
        <v>235990.21428571429</v>
      </c>
      <c r="CI27" s="1">
        <v>219351.52</v>
      </c>
      <c r="CJ27" s="1">
        <v>245000</v>
      </c>
      <c r="CK27" s="1">
        <v>227193.54838709679</v>
      </c>
      <c r="CL27" s="1">
        <v>214090.90909090909</v>
      </c>
      <c r="CM27" s="1">
        <v>207500</v>
      </c>
      <c r="CN27" s="1">
        <v>171948</v>
      </c>
      <c r="CO27" s="1">
        <v>340209.61538461538</v>
      </c>
      <c r="CP27" s="1">
        <v>186785.71428571429</v>
      </c>
      <c r="CQ27" s="1">
        <v>174555.42222222223</v>
      </c>
      <c r="CR27" s="1">
        <v>264210.25</v>
      </c>
      <c r="CS27" s="9">
        <v>235784.08030592735</v>
      </c>
      <c r="CT27" s="1"/>
      <c r="CU27" s="1">
        <v>464600</v>
      </c>
      <c r="CV27" s="1">
        <v>237831.16883116882</v>
      </c>
      <c r="CW27" s="1">
        <v>211373.9245283019</v>
      </c>
      <c r="CX27" s="1">
        <v>371769.3125</v>
      </c>
      <c r="CY27" s="1">
        <v>236734</v>
      </c>
      <c r="CZ27" s="1">
        <v>285000</v>
      </c>
      <c r="DA27" s="1">
        <v>211597.38095238095</v>
      </c>
      <c r="DB27" s="1">
        <v>279926.29729729728</v>
      </c>
      <c r="DC27" s="1">
        <v>253240</v>
      </c>
      <c r="DD27" s="1">
        <v>230585.10638297873</v>
      </c>
      <c r="DE27" s="1">
        <v>202200</v>
      </c>
      <c r="DF27" s="1">
        <v>322377.29729729728</v>
      </c>
      <c r="DG27" s="1">
        <v>175781.8</v>
      </c>
      <c r="DH27" s="1">
        <v>321625</v>
      </c>
      <c r="DI27" s="1">
        <v>188750</v>
      </c>
      <c r="DJ27" s="1">
        <v>181157.89473684211</v>
      </c>
      <c r="DK27" s="1">
        <v>230000</v>
      </c>
      <c r="DL27" s="9">
        <v>256783.5008460237</v>
      </c>
      <c r="DM27" s="1"/>
      <c r="DN27" s="1"/>
      <c r="DO27" s="1">
        <v>238750</v>
      </c>
      <c r="DP27" s="1">
        <v>205864.59574468085</v>
      </c>
      <c r="DQ27" s="1">
        <v>194730.93877551021</v>
      </c>
      <c r="DR27" s="1">
        <v>236010.06666666668</v>
      </c>
      <c r="DS27" s="1">
        <v>189681.7</v>
      </c>
      <c r="DT27" s="1">
        <v>190833.36666666667</v>
      </c>
      <c r="DU27" s="1">
        <v>213037.03703703705</v>
      </c>
      <c r="DV27" s="1">
        <v>322000</v>
      </c>
      <c r="DW27" s="1">
        <v>196714.28571428571</v>
      </c>
      <c r="DX27" s="1">
        <v>200727.27272727274</v>
      </c>
      <c r="DY27" s="1">
        <v>216401.0588235294</v>
      </c>
      <c r="DZ27" s="1">
        <v>195640.71428571429</v>
      </c>
      <c r="EA27" s="1">
        <v>345218.48739495798</v>
      </c>
      <c r="EB27" s="1">
        <v>270079.04347826086</v>
      </c>
      <c r="EC27" s="1">
        <v>185752</v>
      </c>
      <c r="ED27" s="1">
        <v>206666.66666666666</v>
      </c>
      <c r="EE27" s="9">
        <v>244498.1610305958</v>
      </c>
      <c r="EF27" s="1"/>
      <c r="EG27" s="1"/>
      <c r="EH27" s="1">
        <v>224459.45945945947</v>
      </c>
      <c r="EI27" s="1">
        <v>267251.58333333331</v>
      </c>
      <c r="EJ27" s="1">
        <v>498360.87878787878</v>
      </c>
      <c r="EK27" s="1">
        <v>196555.02631578947</v>
      </c>
      <c r="EL27" s="1">
        <v>195064.85714285713</v>
      </c>
      <c r="EM27" s="1">
        <v>207932.25490196078</v>
      </c>
      <c r="EN27" s="1">
        <v>273294.94444444444</v>
      </c>
      <c r="EO27" s="1">
        <v>230000</v>
      </c>
      <c r="EP27" s="1">
        <v>198106.05555555556</v>
      </c>
      <c r="EQ27" s="1">
        <v>236130.4347826087</v>
      </c>
      <c r="ER27" s="1">
        <v>233800</v>
      </c>
      <c r="ES27" s="1">
        <v>192821.42857142858</v>
      </c>
      <c r="ET27" s="1">
        <v>478442.30769230769</v>
      </c>
      <c r="EU27" s="1">
        <v>182588.0625</v>
      </c>
      <c r="EV27" s="1">
        <v>181301.54545454544</v>
      </c>
      <c r="EW27" s="1">
        <v>220000</v>
      </c>
      <c r="EX27" s="9">
        <v>297515.25039872411</v>
      </c>
      <c r="EY27" s="1"/>
      <c r="EZ27" s="1">
        <v>600000</v>
      </c>
      <c r="FA27" s="1">
        <v>241227.26829268291</v>
      </c>
      <c r="FB27" s="1">
        <v>243647.65714285715</v>
      </c>
      <c r="FC27" s="1">
        <v>328347.82608695654</v>
      </c>
      <c r="FD27" s="1">
        <v>204032.25806451612</v>
      </c>
      <c r="FE27" s="1">
        <v>278863.60714285716</v>
      </c>
      <c r="FF27" s="1">
        <v>215571.83870967742</v>
      </c>
      <c r="FG27" s="1">
        <v>290469.68518518517</v>
      </c>
      <c r="FH27" s="1">
        <v>213827.25</v>
      </c>
      <c r="FI27" s="1">
        <v>277712.2295081967</v>
      </c>
      <c r="FJ27" s="1">
        <v>221148.21739130435</v>
      </c>
      <c r="FK27" s="1">
        <v>216287.91666666666</v>
      </c>
      <c r="FL27" s="1">
        <v>182247.44444444444</v>
      </c>
      <c r="FM27" s="1">
        <v>243075.75</v>
      </c>
      <c r="FN27" s="1">
        <v>207405.41666666666</v>
      </c>
      <c r="FO27" s="1">
        <v>173646.48387096773</v>
      </c>
      <c r="FP27" s="1">
        <v>190000</v>
      </c>
      <c r="FQ27" s="9">
        <v>257349.4845173042</v>
      </c>
      <c r="FR27" s="1"/>
      <c r="FS27" s="1"/>
      <c r="FT27" s="1">
        <v>218358.22388059701</v>
      </c>
      <c r="FU27" s="1">
        <v>249562.66666666666</v>
      </c>
      <c r="FV27" s="1">
        <v>337756.59677419357</v>
      </c>
      <c r="FW27" s="1">
        <v>228195.54545454544</v>
      </c>
      <c r="FX27" s="1">
        <v>188289.09090909091</v>
      </c>
      <c r="FY27" s="1">
        <v>224722.22916666666</v>
      </c>
      <c r="FZ27" s="1">
        <v>245416.97826086957</v>
      </c>
      <c r="GA27" s="1">
        <v>256990.10869565216</v>
      </c>
      <c r="GB27" s="1">
        <v>254383.48175182482</v>
      </c>
      <c r="GC27" s="1">
        <v>311055.55555555556</v>
      </c>
      <c r="GD27" s="1">
        <v>291000</v>
      </c>
      <c r="GE27" s="1">
        <v>178744.57142857142</v>
      </c>
      <c r="GF27" s="1">
        <v>288788.48979591834</v>
      </c>
      <c r="GG27" s="1">
        <v>187424.14285714287</v>
      </c>
      <c r="GH27" s="1">
        <v>173238.92592592593</v>
      </c>
      <c r="GI27" s="1"/>
      <c r="GJ27" s="9">
        <v>255480.00144092218</v>
      </c>
      <c r="GK27" s="1"/>
      <c r="GL27" s="1">
        <v>694400</v>
      </c>
      <c r="GM27" s="1">
        <v>214882.19444444444</v>
      </c>
      <c r="GN27" s="1">
        <v>275590.92156862747</v>
      </c>
      <c r="GO27" s="1">
        <v>310191.98412698414</v>
      </c>
      <c r="GP27" s="1">
        <v>316292.88888888888</v>
      </c>
      <c r="GQ27" s="1">
        <v>179920.77419354839</v>
      </c>
      <c r="GR27" s="1">
        <v>305409.63888888888</v>
      </c>
      <c r="GS27" s="1">
        <v>336870.39189189189</v>
      </c>
      <c r="GT27" s="1">
        <v>199471.09090909091</v>
      </c>
      <c r="GU27" s="1">
        <v>192170.26984126985</v>
      </c>
      <c r="GV27" s="1">
        <v>300155.55555555556</v>
      </c>
      <c r="GW27" s="1">
        <v>214911.11111111112</v>
      </c>
      <c r="GX27" s="1">
        <v>173977.25</v>
      </c>
      <c r="GY27" s="1">
        <v>262291.13924050634</v>
      </c>
      <c r="GZ27" s="1">
        <v>202922</v>
      </c>
      <c r="HA27" s="1">
        <v>176416.9411764706</v>
      </c>
      <c r="HB27" s="1">
        <v>196232.05263157896</v>
      </c>
      <c r="HC27" s="9">
        <v>268322.7802359882</v>
      </c>
      <c r="HD27" s="1"/>
      <c r="HE27" s="1">
        <v>640000</v>
      </c>
      <c r="HF27" s="1">
        <v>212361.11111111112</v>
      </c>
      <c r="HG27" s="1">
        <v>206442.44444444444</v>
      </c>
      <c r="HH27" s="1">
        <v>277795.45</v>
      </c>
      <c r="HI27" s="1">
        <v>203076.92307692306</v>
      </c>
      <c r="HJ27" s="1">
        <v>168313</v>
      </c>
      <c r="HK27" s="1">
        <v>380069.20454545453</v>
      </c>
      <c r="HL27" s="1">
        <v>256489.70754716982</v>
      </c>
      <c r="HM27" s="1">
        <v>208636.33333333334</v>
      </c>
      <c r="HN27" s="1">
        <v>197350</v>
      </c>
      <c r="HO27" s="1">
        <v>190000</v>
      </c>
      <c r="HP27" s="1">
        <v>188961.07142857142</v>
      </c>
      <c r="HQ27" s="1">
        <v>191666.66666666666</v>
      </c>
      <c r="HR27" s="1">
        <v>270560</v>
      </c>
      <c r="HS27" s="1">
        <v>208750</v>
      </c>
      <c r="HT27" s="1">
        <v>174848.29629629629</v>
      </c>
      <c r="HU27" s="1">
        <v>183370.37037037036</v>
      </c>
      <c r="HV27" s="9">
        <v>244190.30708661416</v>
      </c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</row>
    <row r="28" spans="1:249" s="6" customFormat="1" hidden="1" x14ac:dyDescent="0.4">
      <c r="A28" s="6" t="s">
        <v>43</v>
      </c>
      <c r="B28" s="6" t="s">
        <v>35</v>
      </c>
      <c r="C28" s="7"/>
      <c r="D28" s="7">
        <v>240397</v>
      </c>
      <c r="E28" s="7">
        <v>231077.9081632653</v>
      </c>
      <c r="F28" s="7">
        <v>238096.08776595743</v>
      </c>
      <c r="G28" s="7">
        <v>243339.26279069768</v>
      </c>
      <c r="H28" s="7">
        <v>115380.91649694501</v>
      </c>
      <c r="I28" s="7">
        <v>193442.0890410959</v>
      </c>
      <c r="J28" s="7">
        <v>133740.859375</v>
      </c>
      <c r="K28" s="7">
        <v>133722.92541436464</v>
      </c>
      <c r="L28" s="7">
        <v>155093.43735224588</v>
      </c>
      <c r="M28" s="7">
        <v>174468.92430278886</v>
      </c>
      <c r="N28" s="7">
        <v>209941.17435897436</v>
      </c>
      <c r="O28" s="7">
        <v>183111.20218579235</v>
      </c>
      <c r="P28" s="7">
        <v>173828.28735632185</v>
      </c>
      <c r="Q28" s="7">
        <v>214177.37021276596</v>
      </c>
      <c r="R28" s="7">
        <v>113792.10285714286</v>
      </c>
      <c r="S28" s="7">
        <v>110899.78504672897</v>
      </c>
      <c r="T28" s="7">
        <v>117489.36923076923</v>
      </c>
      <c r="U28" s="9">
        <v>188900.71538885825</v>
      </c>
      <c r="V28" s="7"/>
      <c r="W28" s="7">
        <v>251401.40845070421</v>
      </c>
      <c r="X28" s="7">
        <v>170567.49411764706</v>
      </c>
      <c r="Y28" s="7">
        <v>172332.83606557376</v>
      </c>
      <c r="Z28" s="7">
        <v>224536.14469453375</v>
      </c>
      <c r="AA28" s="7">
        <v>180121.19444444444</v>
      </c>
      <c r="AB28" s="7">
        <v>103636.35294117648</v>
      </c>
      <c r="AC28" s="7">
        <v>155095.95238095237</v>
      </c>
      <c r="AD28" s="7">
        <v>121624.86075949368</v>
      </c>
      <c r="AE28" s="7">
        <v>117641.8389261745</v>
      </c>
      <c r="AF28" s="7">
        <v>128848.85625</v>
      </c>
      <c r="AG28" s="7">
        <v>140628.81443298969</v>
      </c>
      <c r="AH28" s="7">
        <v>160408.16326530612</v>
      </c>
      <c r="AI28" s="7">
        <v>110900.81818181818</v>
      </c>
      <c r="AJ28" s="7">
        <v>116615.38461538461</v>
      </c>
      <c r="AK28" s="7">
        <v>90417.287769784176</v>
      </c>
      <c r="AL28" s="7">
        <v>123922.5</v>
      </c>
      <c r="AM28" s="7">
        <v>110671.4</v>
      </c>
      <c r="AN28" s="9">
        <v>160662.34245076586</v>
      </c>
      <c r="AO28" s="7"/>
      <c r="AP28" s="7">
        <v>198482.75862068965</v>
      </c>
      <c r="AQ28" s="7">
        <v>203260.86956521738</v>
      </c>
      <c r="AR28" s="7">
        <v>171955.04812834226</v>
      </c>
      <c r="AS28" s="7">
        <v>153806.49350649351</v>
      </c>
      <c r="AT28" s="7">
        <v>99892.227963525831</v>
      </c>
      <c r="AU28" s="7">
        <v>121890.70212765958</v>
      </c>
      <c r="AV28" s="7">
        <v>136218.03007518797</v>
      </c>
      <c r="AW28" s="7">
        <v>116064.42358078602</v>
      </c>
      <c r="AX28" s="7">
        <v>120750.59210526316</v>
      </c>
      <c r="AY28" s="7">
        <v>135663.19444444444</v>
      </c>
      <c r="AZ28" s="7">
        <v>113023.38383838384</v>
      </c>
      <c r="BA28" s="7">
        <v>242266.32352941178</v>
      </c>
      <c r="BB28" s="7">
        <v>119364.52380952382</v>
      </c>
      <c r="BC28" s="7">
        <v>189329.67032967033</v>
      </c>
      <c r="BD28" s="7">
        <v>103751.272</v>
      </c>
      <c r="BE28" s="7">
        <v>125517.48717948717</v>
      </c>
      <c r="BF28" s="7">
        <v>88535.333333333328</v>
      </c>
      <c r="BG28" s="9">
        <v>141480.06461675579</v>
      </c>
      <c r="BH28" s="7"/>
      <c r="BI28" s="7">
        <v>204999.63888888888</v>
      </c>
      <c r="BJ28" s="7">
        <v>162097.70114942529</v>
      </c>
      <c r="BK28" s="7">
        <v>172410.03930131005</v>
      </c>
      <c r="BL28" s="7">
        <v>162030.30107526883</v>
      </c>
      <c r="BM28" s="7">
        <v>104559.66145833333</v>
      </c>
      <c r="BN28" s="7">
        <v>154864.02631578947</v>
      </c>
      <c r="BO28" s="7">
        <v>120807.264</v>
      </c>
      <c r="BP28" s="7">
        <v>127907.32038834952</v>
      </c>
      <c r="BQ28" s="7">
        <v>146942.53191489363</v>
      </c>
      <c r="BR28" s="7">
        <v>159685.19834710745</v>
      </c>
      <c r="BS28" s="7">
        <v>107260.60606060606</v>
      </c>
      <c r="BT28" s="7">
        <v>119240.51428571429</v>
      </c>
      <c r="BU28" s="7">
        <v>116766.36585365854</v>
      </c>
      <c r="BV28" s="7">
        <v>189257.57575757575</v>
      </c>
      <c r="BW28" s="7">
        <v>108140.84507042254</v>
      </c>
      <c r="BX28" s="7">
        <v>111981.57831325301</v>
      </c>
      <c r="BY28" s="7">
        <v>103409.09090909091</v>
      </c>
      <c r="BZ28" s="9">
        <v>141916.2298136646</v>
      </c>
      <c r="CA28" s="7"/>
      <c r="CB28" s="7">
        <v>237487.34177215191</v>
      </c>
      <c r="CC28" s="7">
        <v>202433.6</v>
      </c>
      <c r="CD28" s="7">
        <v>135884.20000000001</v>
      </c>
      <c r="CE28" s="7">
        <v>247119.51219512196</v>
      </c>
      <c r="CF28" s="7">
        <v>131570.13565891472</v>
      </c>
      <c r="CG28" s="7">
        <v>93381.530303030304</v>
      </c>
      <c r="CH28" s="7">
        <v>114086.95652173914</v>
      </c>
      <c r="CI28" s="7">
        <v>174060.82014388489</v>
      </c>
      <c r="CJ28" s="7">
        <v>125507.86390532544</v>
      </c>
      <c r="CK28" s="7">
        <v>255067.71559633026</v>
      </c>
      <c r="CL28" s="7">
        <v>151472.47651006712</v>
      </c>
      <c r="CM28" s="7">
        <v>250254.71698113208</v>
      </c>
      <c r="CN28" s="7">
        <v>115555.55555555556</v>
      </c>
      <c r="CO28" s="7">
        <v>174615.38461538462</v>
      </c>
      <c r="CP28" s="7">
        <v>98253.308988764038</v>
      </c>
      <c r="CQ28" s="7">
        <v>101296.94117647059</v>
      </c>
      <c r="CR28" s="7">
        <v>100251.01492537314</v>
      </c>
      <c r="CS28" s="9">
        <v>157830.98151750973</v>
      </c>
      <c r="CT28" s="7"/>
      <c r="CU28" s="7">
        <v>181250</v>
      </c>
      <c r="CV28" s="7">
        <v>147804.79452054793</v>
      </c>
      <c r="CW28" s="7">
        <v>121202.17910447762</v>
      </c>
      <c r="CX28" s="7">
        <v>175713</v>
      </c>
      <c r="CY28" s="7">
        <v>115198.73793103448</v>
      </c>
      <c r="CZ28" s="7">
        <v>108363.625</v>
      </c>
      <c r="DA28" s="7">
        <v>153884.83950617284</v>
      </c>
      <c r="DB28" s="7">
        <v>118983.78861788618</v>
      </c>
      <c r="DC28" s="7">
        <v>101268.36842105263</v>
      </c>
      <c r="DD28" s="7">
        <v>111029.06976744186</v>
      </c>
      <c r="DE28" s="7">
        <v>150292.45864661655</v>
      </c>
      <c r="DF28" s="7">
        <v>170481.08383233534</v>
      </c>
      <c r="DG28" s="7">
        <v>103896.08163265306</v>
      </c>
      <c r="DH28" s="7">
        <v>288082.35294117645</v>
      </c>
      <c r="DI28" s="7">
        <v>93455.105590062114</v>
      </c>
      <c r="DJ28" s="7">
        <v>138857.11428571428</v>
      </c>
      <c r="DK28" s="7">
        <v>87079.043478260865</v>
      </c>
      <c r="DL28" s="9">
        <v>137812.21605310802</v>
      </c>
      <c r="DM28" s="7"/>
      <c r="DN28" s="7">
        <v>187450.98039215687</v>
      </c>
      <c r="DO28" s="7">
        <v>198360.15267175573</v>
      </c>
      <c r="DP28" s="7">
        <v>158799.16666666666</v>
      </c>
      <c r="DQ28" s="7">
        <v>149253.6761904762</v>
      </c>
      <c r="DR28" s="7">
        <v>110672.51136363637</v>
      </c>
      <c r="DS28" s="7">
        <v>115400</v>
      </c>
      <c r="DT28" s="7">
        <v>122025.81081081081</v>
      </c>
      <c r="DU28" s="7">
        <v>109036.42857142857</v>
      </c>
      <c r="DV28" s="7">
        <v>100461.85483870968</v>
      </c>
      <c r="DW28" s="7">
        <v>128243.39784946236</v>
      </c>
      <c r="DX28" s="7">
        <v>119210.58898305085</v>
      </c>
      <c r="DY28" s="7">
        <v>268261.70422535209</v>
      </c>
      <c r="DZ28" s="7">
        <v>103124.18309859154</v>
      </c>
      <c r="EA28" s="7">
        <v>191799.21259842519</v>
      </c>
      <c r="EB28" s="7">
        <v>127996.57692307692</v>
      </c>
      <c r="EC28" s="7">
        <v>132737.10869565216</v>
      </c>
      <c r="ED28" s="7">
        <v>92838.377777777772</v>
      </c>
      <c r="EE28" s="9">
        <v>143736.32656333511</v>
      </c>
      <c r="EF28" s="7"/>
      <c r="EG28" s="7">
        <v>210625</v>
      </c>
      <c r="EH28" s="7">
        <v>216595.89041095891</v>
      </c>
      <c r="EI28" s="7">
        <v>119988</v>
      </c>
      <c r="EJ28" s="7">
        <v>204758.11904761905</v>
      </c>
      <c r="EK28" s="7">
        <v>138227.81927710844</v>
      </c>
      <c r="EL28" s="7">
        <v>123025.72641509434</v>
      </c>
      <c r="EM28" s="7">
        <v>117823.11564625851</v>
      </c>
      <c r="EN28" s="7">
        <v>134529.5388888889</v>
      </c>
      <c r="EO28" s="7">
        <v>100021.38235294117</v>
      </c>
      <c r="EP28" s="7">
        <v>115313.27956989247</v>
      </c>
      <c r="EQ28" s="7">
        <v>140673.1683168317</v>
      </c>
      <c r="ER28" s="7">
        <v>219973.29113924049</v>
      </c>
      <c r="ES28" s="7">
        <v>119904.29824561403</v>
      </c>
      <c r="ET28" s="7">
        <v>119750</v>
      </c>
      <c r="EU28" s="7">
        <v>86936.578947368427</v>
      </c>
      <c r="EV28" s="7">
        <v>97806.304347826081</v>
      </c>
      <c r="EW28" s="7">
        <v>113509.57575757576</v>
      </c>
      <c r="EX28" s="9">
        <v>148700.43227091632</v>
      </c>
      <c r="EY28" s="7"/>
      <c r="EZ28" s="7">
        <v>191410.25641025641</v>
      </c>
      <c r="FA28" s="7">
        <v>218189.96226415093</v>
      </c>
      <c r="FB28" s="7">
        <v>203247.21022727274</v>
      </c>
      <c r="FC28" s="7">
        <v>134560.66550522647</v>
      </c>
      <c r="FD28" s="7">
        <v>124461.94557823129</v>
      </c>
      <c r="FE28" s="7">
        <v>100739.675</v>
      </c>
      <c r="FF28" s="7">
        <v>114147.05882352941</v>
      </c>
      <c r="FG28" s="7">
        <v>203190.7514450867</v>
      </c>
      <c r="FH28" s="7">
        <v>111316.70967741935</v>
      </c>
      <c r="FI28" s="7">
        <v>111815.78947368421</v>
      </c>
      <c r="FJ28" s="7">
        <v>190331.37724550898</v>
      </c>
      <c r="FK28" s="7">
        <v>162848.21428571429</v>
      </c>
      <c r="FL28" s="7">
        <v>99840.85</v>
      </c>
      <c r="FM28" s="7">
        <v>185797.87234042553</v>
      </c>
      <c r="FN28" s="7">
        <v>123446.06976744186</v>
      </c>
      <c r="FO28" s="7">
        <v>101363.63333333333</v>
      </c>
      <c r="FP28" s="7">
        <v>100955.4693877551</v>
      </c>
      <c r="FQ28" s="9">
        <v>157789.23355629877</v>
      </c>
      <c r="FR28" s="7"/>
      <c r="FS28" s="7">
        <v>176931.81818181818</v>
      </c>
      <c r="FT28" s="7">
        <v>194719.17808219179</v>
      </c>
      <c r="FU28" s="7">
        <v>150011.36029411765</v>
      </c>
      <c r="FV28" s="7">
        <v>161304.94708994709</v>
      </c>
      <c r="FW28" s="7">
        <v>105073.00546448087</v>
      </c>
      <c r="FX28" s="7">
        <v>99651.227272727279</v>
      </c>
      <c r="FY28" s="7">
        <v>111447.91666666667</v>
      </c>
      <c r="FZ28" s="7">
        <v>137052.35999999999</v>
      </c>
      <c r="GA28" s="7">
        <v>117246.87943262412</v>
      </c>
      <c r="GB28" s="7">
        <v>135833.79141104294</v>
      </c>
      <c r="GC28" s="7">
        <v>139765.94444444444</v>
      </c>
      <c r="GD28" s="7">
        <v>261500</v>
      </c>
      <c r="GE28" s="7">
        <v>98653.148148148146</v>
      </c>
      <c r="GF28" s="7">
        <v>296742.69005847955</v>
      </c>
      <c r="GG28" s="7">
        <v>105291.52586206897</v>
      </c>
      <c r="GH28" s="7">
        <v>91177.636363636368</v>
      </c>
      <c r="GI28" s="7">
        <v>89434.333333333328</v>
      </c>
      <c r="GJ28" s="9">
        <v>153214.01852779169</v>
      </c>
      <c r="GK28" s="7"/>
      <c r="GL28" s="7">
        <v>182409.60000000001</v>
      </c>
      <c r="GM28" s="7">
        <v>155840.74074074073</v>
      </c>
      <c r="GN28" s="7">
        <v>227249.67785234901</v>
      </c>
      <c r="GO28" s="7">
        <v>128076.45859872611</v>
      </c>
      <c r="GP28" s="7">
        <v>108450.68644067796</v>
      </c>
      <c r="GQ28" s="7">
        <v>102053.51785714286</v>
      </c>
      <c r="GR28" s="7">
        <v>116000.4262295082</v>
      </c>
      <c r="GS28" s="7">
        <v>156077.2485549133</v>
      </c>
      <c r="GT28" s="7">
        <v>91475.897590361448</v>
      </c>
      <c r="GU28" s="7">
        <v>110633.39130434782</v>
      </c>
      <c r="GV28" s="7">
        <v>134731.01796407186</v>
      </c>
      <c r="GW28" s="7">
        <v>137594.26229508198</v>
      </c>
      <c r="GX28" s="7">
        <v>104826.36363636363</v>
      </c>
      <c r="GY28" s="7">
        <v>281288.728</v>
      </c>
      <c r="GZ28" s="7">
        <v>90330.515151515152</v>
      </c>
      <c r="HA28" s="7">
        <v>82272.737500000003</v>
      </c>
      <c r="HB28" s="7">
        <v>102916.66666666667</v>
      </c>
      <c r="HC28" s="9">
        <v>140797.98758406623</v>
      </c>
      <c r="HD28" s="7"/>
      <c r="HE28" s="7">
        <v>205218.18181818182</v>
      </c>
      <c r="HF28" s="7">
        <v>144553.7634408602</v>
      </c>
      <c r="HG28" s="7">
        <v>194126.50602409639</v>
      </c>
      <c r="HH28" s="7">
        <v>149520.63492063491</v>
      </c>
      <c r="HI28" s="7">
        <v>93415.821782178216</v>
      </c>
      <c r="HJ28" s="7">
        <v>94148.46666666666</v>
      </c>
      <c r="HK28" s="7">
        <v>125210.64634146342</v>
      </c>
      <c r="HL28" s="7">
        <v>129705.52531645569</v>
      </c>
      <c r="HM28" s="7">
        <v>104478</v>
      </c>
      <c r="HN28" s="7">
        <v>110363.63333333333</v>
      </c>
      <c r="HO28" s="7">
        <v>91029.978021978022</v>
      </c>
      <c r="HP28" s="7">
        <v>114864.86486486487</v>
      </c>
      <c r="HQ28" s="7">
        <v>104181.80645161291</v>
      </c>
      <c r="HR28" s="7">
        <v>93330.043478260865</v>
      </c>
      <c r="HS28" s="7">
        <v>92966.5</v>
      </c>
      <c r="HT28" s="7">
        <v>89429.936507936509</v>
      </c>
      <c r="HU28" s="7">
        <v>92246.51955307262</v>
      </c>
      <c r="HV28" s="9">
        <v>125019.5057008719</v>
      </c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</row>
    <row r="29" spans="1:249" hidden="1" x14ac:dyDescent="0.4">
      <c r="A29" t="s">
        <v>43</v>
      </c>
      <c r="B29" t="s">
        <v>44</v>
      </c>
      <c r="C29" s="1"/>
      <c r="D29" s="1"/>
      <c r="E29" s="1">
        <v>114993.23529411765</v>
      </c>
      <c r="F29" s="1">
        <v>130624.58947368422</v>
      </c>
      <c r="G29" s="1">
        <v>137322.10454545455</v>
      </c>
      <c r="H29" s="1">
        <v>120113.55102040817</v>
      </c>
      <c r="I29" s="1">
        <v>94168.604651162794</v>
      </c>
      <c r="J29" s="1">
        <v>93166.8</v>
      </c>
      <c r="K29" s="1">
        <v>136500.73913043478</v>
      </c>
      <c r="L29" s="1">
        <v>97786.461538461532</v>
      </c>
      <c r="M29" s="1">
        <v>120439.3661971831</v>
      </c>
      <c r="N29" s="1">
        <v>143440.80645161291</v>
      </c>
      <c r="O29" s="1">
        <v>103627.8275862069</v>
      </c>
      <c r="P29" s="1">
        <v>95388.28571428571</v>
      </c>
      <c r="Q29" s="1">
        <v>120954.48031496063</v>
      </c>
      <c r="R29" s="1">
        <v>87140.731707317071</v>
      </c>
      <c r="S29" s="1">
        <v>200755.0625</v>
      </c>
      <c r="T29" s="1">
        <v>102154.61224489796</v>
      </c>
      <c r="U29" s="9">
        <v>121983.29713114754</v>
      </c>
      <c r="V29" s="1"/>
      <c r="W29" s="1"/>
      <c r="X29" s="1">
        <v>133002.5652173913</v>
      </c>
      <c r="Y29" s="1">
        <v>99179.447368421053</v>
      </c>
      <c r="Z29" s="1">
        <v>97148.733333333337</v>
      </c>
      <c r="AA29" s="1">
        <v>112500</v>
      </c>
      <c r="AB29" s="1">
        <v>98311</v>
      </c>
      <c r="AC29" s="1">
        <v>89065</v>
      </c>
      <c r="AD29" s="1">
        <v>107018.77272727272</v>
      </c>
      <c r="AE29" s="1">
        <v>102182.5172413793</v>
      </c>
      <c r="AF29" s="1">
        <v>106838.23076923077</v>
      </c>
      <c r="AG29" s="1">
        <v>130618.46153846153</v>
      </c>
      <c r="AH29" s="1">
        <v>104878.44444444444</v>
      </c>
      <c r="AI29" s="1">
        <v>87259.25</v>
      </c>
      <c r="AJ29" s="1">
        <v>96603.08928571429</v>
      </c>
      <c r="AK29" s="1">
        <v>89770.8</v>
      </c>
      <c r="AL29" s="1">
        <v>82716.411764705888</v>
      </c>
      <c r="AM29" s="1">
        <v>86222.954545454544</v>
      </c>
      <c r="AN29" s="9">
        <v>101699.88148148148</v>
      </c>
      <c r="AO29" s="1"/>
      <c r="AP29" s="1"/>
      <c r="AQ29" s="1">
        <v>147846.92857142858</v>
      </c>
      <c r="AR29" s="1">
        <v>119539.98484848485</v>
      </c>
      <c r="AS29" s="1">
        <v>112103.265625</v>
      </c>
      <c r="AT29" s="1">
        <v>86052.800000000003</v>
      </c>
      <c r="AU29" s="1">
        <v>117244.06410256411</v>
      </c>
      <c r="AV29" s="1">
        <v>90655.380952380947</v>
      </c>
      <c r="AW29" s="1">
        <v>113171.08333333333</v>
      </c>
      <c r="AX29" s="1">
        <v>98992.981818181812</v>
      </c>
      <c r="AY29" s="1">
        <v>104238.36842105263</v>
      </c>
      <c r="AZ29" s="1">
        <v>109200</v>
      </c>
      <c r="BA29" s="1">
        <v>107118.96153846153</v>
      </c>
      <c r="BB29" s="1">
        <v>118758.93333333333</v>
      </c>
      <c r="BC29" s="1">
        <v>130305.60674157304</v>
      </c>
      <c r="BD29" s="1">
        <v>80834.9375</v>
      </c>
      <c r="BE29" s="1">
        <v>85517.21428571429</v>
      </c>
      <c r="BF29" s="1">
        <v>85297.655172413797</v>
      </c>
      <c r="BG29" s="9">
        <v>110962.41654978962</v>
      </c>
      <c r="BH29" s="1"/>
      <c r="BI29" s="1"/>
      <c r="BJ29" s="1">
        <v>111116.85714285714</v>
      </c>
      <c r="BK29" s="1">
        <v>110409</v>
      </c>
      <c r="BL29" s="1">
        <v>141214.35384615386</v>
      </c>
      <c r="BM29" s="1">
        <v>85027.333333333328</v>
      </c>
      <c r="BN29" s="1">
        <v>90079.650602409645</v>
      </c>
      <c r="BO29" s="1">
        <v>90633.84848484848</v>
      </c>
      <c r="BP29" s="1">
        <v>94547.45</v>
      </c>
      <c r="BQ29" s="1">
        <v>100453.03448275862</v>
      </c>
      <c r="BR29" s="1">
        <v>106879.13043478261</v>
      </c>
      <c r="BS29" s="1">
        <v>100717.81818181818</v>
      </c>
      <c r="BT29" s="1">
        <v>110545.54166666667</v>
      </c>
      <c r="BU29" s="1">
        <v>116932.63636363637</v>
      </c>
      <c r="BV29" s="1">
        <v>95686.254901960783</v>
      </c>
      <c r="BW29" s="1">
        <v>94621.166666666672</v>
      </c>
      <c r="BX29" s="1">
        <v>89531.75</v>
      </c>
      <c r="BY29" s="1">
        <v>80917.206896551725</v>
      </c>
      <c r="BZ29" s="9">
        <v>104569.36378737542</v>
      </c>
      <c r="CA29" s="1"/>
      <c r="CB29" s="1"/>
      <c r="CC29" s="1">
        <v>119812.57142857143</v>
      </c>
      <c r="CD29" s="1">
        <v>106067.26470588235</v>
      </c>
      <c r="CE29" s="1">
        <v>104659.91666666667</v>
      </c>
      <c r="CF29" s="1">
        <v>47000</v>
      </c>
      <c r="CG29" s="1">
        <v>94456.605263157893</v>
      </c>
      <c r="CH29" s="1">
        <v>93751.636363636368</v>
      </c>
      <c r="CI29" s="1">
        <v>113995.7</v>
      </c>
      <c r="CJ29" s="1">
        <v>92000.085714285713</v>
      </c>
      <c r="CK29" s="1">
        <v>110078.1</v>
      </c>
      <c r="CL29" s="1">
        <v>155260.20000000001</v>
      </c>
      <c r="CM29" s="1">
        <v>112581.31578947368</v>
      </c>
      <c r="CN29" s="1">
        <v>114291.12</v>
      </c>
      <c r="CO29" s="1">
        <v>112815</v>
      </c>
      <c r="CP29" s="1">
        <v>86210.6875</v>
      </c>
      <c r="CQ29" s="1">
        <v>82293.25</v>
      </c>
      <c r="CR29" s="1">
        <v>91478.444444444438</v>
      </c>
      <c r="CS29" s="9">
        <v>106600.2932330827</v>
      </c>
      <c r="CT29" s="1"/>
      <c r="CU29" s="1"/>
      <c r="CV29" s="1">
        <v>115492.13636363637</v>
      </c>
      <c r="CW29" s="1">
        <v>102120.54838709677</v>
      </c>
      <c r="CX29" s="1">
        <v>92598.15094339622</v>
      </c>
      <c r="CY29" s="1">
        <v>102759.14285714286</v>
      </c>
      <c r="CZ29" s="1">
        <v>84661.775193798443</v>
      </c>
      <c r="DA29" s="1">
        <v>93154.6</v>
      </c>
      <c r="DB29" s="1">
        <v>116550.57142857143</v>
      </c>
      <c r="DC29" s="1">
        <v>96425.951612903227</v>
      </c>
      <c r="DD29" s="1">
        <v>100059.56</v>
      </c>
      <c r="DE29" s="1">
        <v>118610.74418604652</v>
      </c>
      <c r="DF29" s="1">
        <v>120940.51063829787</v>
      </c>
      <c r="DG29" s="1">
        <v>124643.4</v>
      </c>
      <c r="DH29" s="1">
        <v>117493.1511627907</v>
      </c>
      <c r="DI29" s="1">
        <v>90713</v>
      </c>
      <c r="DJ29" s="1">
        <v>90416.636363636368</v>
      </c>
      <c r="DK29" s="1">
        <v>85206.030303030304</v>
      </c>
      <c r="DL29" s="9">
        <v>101239.63706563707</v>
      </c>
      <c r="DM29" s="1"/>
      <c r="DN29" s="1"/>
      <c r="DO29" s="1">
        <v>112667.64705882352</v>
      </c>
      <c r="DP29" s="1">
        <v>100152.83168316832</v>
      </c>
      <c r="DQ29" s="1">
        <v>96086.611111111109</v>
      </c>
      <c r="DR29" s="1">
        <v>88830</v>
      </c>
      <c r="DS29" s="1">
        <v>91849.936416184966</v>
      </c>
      <c r="DT29" s="1">
        <v>89873.470588235301</v>
      </c>
      <c r="DU29" s="1">
        <v>116999.29729729729</v>
      </c>
      <c r="DV29" s="1">
        <v>148874.70129870129</v>
      </c>
      <c r="DW29" s="1">
        <v>123063.47619047618</v>
      </c>
      <c r="DX29" s="1">
        <v>109928.66666666667</v>
      </c>
      <c r="DY29" s="1">
        <v>109699.04166666667</v>
      </c>
      <c r="DZ29" s="1">
        <v>168691.58333333334</v>
      </c>
      <c r="EA29" s="1">
        <v>94163.078947368427</v>
      </c>
      <c r="EB29" s="1">
        <v>87886.428571428565</v>
      </c>
      <c r="EC29" s="1">
        <v>95803.5</v>
      </c>
      <c r="ED29" s="1">
        <v>108900</v>
      </c>
      <c r="EE29" s="9">
        <v>109922.18459796149</v>
      </c>
      <c r="EF29" s="1"/>
      <c r="EG29" s="1"/>
      <c r="EH29" s="1">
        <v>120388.45</v>
      </c>
      <c r="EI29" s="1">
        <v>97861.757575757569</v>
      </c>
      <c r="EJ29" s="1">
        <v>100620.73529411765</v>
      </c>
      <c r="EK29" s="1">
        <v>97133.333333333328</v>
      </c>
      <c r="EL29" s="1">
        <v>96517.905982905984</v>
      </c>
      <c r="EM29" s="1">
        <v>91901.761904761908</v>
      </c>
      <c r="EN29" s="1">
        <v>110704.140625</v>
      </c>
      <c r="EO29" s="1">
        <v>114983.96694214876</v>
      </c>
      <c r="EP29" s="1">
        <v>99861.640625</v>
      </c>
      <c r="EQ29" s="1">
        <v>99573.68421052632</v>
      </c>
      <c r="ER29" s="1">
        <v>101978.94736842105</v>
      </c>
      <c r="ES29" s="1">
        <v>120533</v>
      </c>
      <c r="ET29" s="1">
        <v>96124.976190476184</v>
      </c>
      <c r="EU29" s="1">
        <v>89387.95</v>
      </c>
      <c r="EV29" s="1">
        <v>84954.71428571429</v>
      </c>
      <c r="EW29" s="1">
        <v>88507.407407407401</v>
      </c>
      <c r="EX29" s="9">
        <v>101952.0398505604</v>
      </c>
      <c r="EY29" s="1"/>
      <c r="EZ29" s="1"/>
      <c r="FA29" s="1">
        <v>119255.45</v>
      </c>
      <c r="FB29" s="1">
        <v>113869.10606060606</v>
      </c>
      <c r="FC29" s="1">
        <v>103426.1</v>
      </c>
      <c r="FD29" s="1"/>
      <c r="FE29" s="1">
        <v>93240.519230769234</v>
      </c>
      <c r="FF29" s="1">
        <v>104027.23404255319</v>
      </c>
      <c r="FG29" s="1">
        <v>109050.29824561403</v>
      </c>
      <c r="FH29" s="1">
        <v>105389.91666666667</v>
      </c>
      <c r="FI29" s="1">
        <v>92773.186046511633</v>
      </c>
      <c r="FJ29" s="1">
        <v>104795.58064516129</v>
      </c>
      <c r="FK29" s="1">
        <v>122928.40350877192</v>
      </c>
      <c r="FL29" s="1">
        <v>111788.15151515152</v>
      </c>
      <c r="FM29" s="1">
        <v>102105.58181818182</v>
      </c>
      <c r="FN29" s="1">
        <v>89015.111111111109</v>
      </c>
      <c r="FO29" s="1">
        <v>86166.666666666672</v>
      </c>
      <c r="FP29" s="1">
        <v>108275.81395348837</v>
      </c>
      <c r="FQ29" s="9">
        <v>104531.17990654205</v>
      </c>
      <c r="FR29" s="1"/>
      <c r="FS29" s="1"/>
      <c r="FT29" s="1">
        <v>113507</v>
      </c>
      <c r="FU29" s="1">
        <v>96548.168067226885</v>
      </c>
      <c r="FV29" s="1">
        <v>107476.1724137931</v>
      </c>
      <c r="FW29" s="1">
        <v>103400</v>
      </c>
      <c r="FX29" s="1">
        <v>83794.403846153844</v>
      </c>
      <c r="FY29" s="1">
        <v>88075.666666666672</v>
      </c>
      <c r="FZ29" s="1">
        <v>95771.441860465115</v>
      </c>
      <c r="GA29" s="1">
        <v>88524.075471698117</v>
      </c>
      <c r="GB29" s="1">
        <v>109274.67391304347</v>
      </c>
      <c r="GC29" s="1">
        <v>305593.27586206899</v>
      </c>
      <c r="GD29" s="1">
        <v>111652.77777777778</v>
      </c>
      <c r="GE29" s="1">
        <v>125428.57692307692</v>
      </c>
      <c r="GF29" s="1">
        <v>108857.68493150685</v>
      </c>
      <c r="GG29" s="1">
        <v>86950</v>
      </c>
      <c r="GH29" s="1">
        <v>111050</v>
      </c>
      <c r="GI29" s="1">
        <v>85801.071428571435</v>
      </c>
      <c r="GJ29" s="9">
        <v>117191.05954198474</v>
      </c>
      <c r="GK29" s="1"/>
      <c r="GL29" s="1"/>
      <c r="GM29" s="1">
        <v>118701.66666666667</v>
      </c>
      <c r="GN29" s="1">
        <v>99909.972972972973</v>
      </c>
      <c r="GO29" s="1">
        <v>106008.34210526316</v>
      </c>
      <c r="GP29" s="1">
        <v>94000</v>
      </c>
      <c r="GQ29" s="1">
        <v>80266.068493150684</v>
      </c>
      <c r="GR29" s="1">
        <v>105841.57142857143</v>
      </c>
      <c r="GS29" s="1">
        <v>92895.46428571429</v>
      </c>
      <c r="GT29" s="1">
        <v>90617.063492063491</v>
      </c>
      <c r="GU29" s="1">
        <v>101899.77777777778</v>
      </c>
      <c r="GV29" s="1">
        <v>165171.46341463414</v>
      </c>
      <c r="GW29" s="1">
        <v>109510.07272727272</v>
      </c>
      <c r="GX29" s="1">
        <v>101785.58823529411</v>
      </c>
      <c r="GY29" s="1">
        <v>93746.455696202538</v>
      </c>
      <c r="GZ29" s="1">
        <v>81780</v>
      </c>
      <c r="HA29" s="1">
        <v>83318</v>
      </c>
      <c r="HB29" s="1">
        <v>87092.172413793101</v>
      </c>
      <c r="HC29" s="9">
        <v>101658.27552674231</v>
      </c>
      <c r="HD29" s="1"/>
      <c r="HE29" s="1"/>
      <c r="HF29" s="1">
        <v>131147.5</v>
      </c>
      <c r="HG29" s="1">
        <v>116256.30985915494</v>
      </c>
      <c r="HH29" s="1">
        <v>98200.75</v>
      </c>
      <c r="HI29" s="1">
        <v>103400</v>
      </c>
      <c r="HJ29" s="1">
        <v>82061.495412844029</v>
      </c>
      <c r="HK29" s="1">
        <v>92825</v>
      </c>
      <c r="HL29" s="1">
        <v>103257.62162162163</v>
      </c>
      <c r="HM29" s="1">
        <v>100962.05555555556</v>
      </c>
      <c r="HN29" s="1">
        <v>110229.61111111111</v>
      </c>
      <c r="HO29" s="1">
        <v>110836.33333333333</v>
      </c>
      <c r="HP29" s="1">
        <v>102925.12</v>
      </c>
      <c r="HQ29" s="1">
        <v>149097.875</v>
      </c>
      <c r="HR29" s="1">
        <v>97654.886792452831</v>
      </c>
      <c r="HS29" s="1">
        <v>81075</v>
      </c>
      <c r="HT29" s="1">
        <v>93969</v>
      </c>
      <c r="HU29" s="1">
        <v>95887.085714285713</v>
      </c>
      <c r="HV29" s="9">
        <v>100921.67407407408</v>
      </c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</row>
    <row r="30" spans="1:249" hidden="1" x14ac:dyDescent="0.4">
      <c r="A30" t="s">
        <v>43</v>
      </c>
      <c r="B30" t="s">
        <v>102</v>
      </c>
      <c r="C30" s="1"/>
      <c r="D30" s="1"/>
      <c r="E30" s="1">
        <v>23749.268421052631</v>
      </c>
      <c r="F30" s="1">
        <v>20361.241100323623</v>
      </c>
      <c r="G30" s="1">
        <v>31148.49019607843</v>
      </c>
      <c r="H30" s="1">
        <v>30328.11219512195</v>
      </c>
      <c r="I30" s="1">
        <v>24389.126637554586</v>
      </c>
      <c r="J30" s="1">
        <v>23319.832817337461</v>
      </c>
      <c r="K30" s="1">
        <v>30618.280632411068</v>
      </c>
      <c r="L30" s="1">
        <v>24947.487584650113</v>
      </c>
      <c r="M30" s="1">
        <v>40545.345999999998</v>
      </c>
      <c r="N30" s="1">
        <v>36324.266318537862</v>
      </c>
      <c r="O30" s="1">
        <v>37284.496924969251</v>
      </c>
      <c r="P30" s="1">
        <v>67003.431818181823</v>
      </c>
      <c r="Q30" s="1">
        <v>23699.3125</v>
      </c>
      <c r="R30" s="1">
        <v>23153.169230769232</v>
      </c>
      <c r="S30" s="1">
        <v>32132.295774647886</v>
      </c>
      <c r="T30" s="1">
        <v>22433.521327014219</v>
      </c>
      <c r="U30" s="9">
        <v>29542.34194739271</v>
      </c>
      <c r="V30" s="1"/>
      <c r="W30" s="1"/>
      <c r="X30" s="1">
        <v>25319.306382978724</v>
      </c>
      <c r="Y30" s="1">
        <v>25368.637755102041</v>
      </c>
      <c r="Z30" s="1">
        <v>24899.003610108302</v>
      </c>
      <c r="AA30" s="1">
        <v>37106.25</v>
      </c>
      <c r="AB30" s="1">
        <v>24217.397540983606</v>
      </c>
      <c r="AC30" s="1">
        <v>25126.426724137931</v>
      </c>
      <c r="AD30" s="1">
        <v>27173.725409836065</v>
      </c>
      <c r="AE30" s="1">
        <v>22120.686619718308</v>
      </c>
      <c r="AF30" s="1">
        <v>28240.067010309278</v>
      </c>
      <c r="AG30" s="1">
        <v>26876.795121951218</v>
      </c>
      <c r="AH30" s="1">
        <v>55657.451923076922</v>
      </c>
      <c r="AI30" s="1">
        <v>26912.733870967742</v>
      </c>
      <c r="AJ30" s="1">
        <v>25024.535433070865</v>
      </c>
      <c r="AK30" s="1">
        <v>20096.795918367348</v>
      </c>
      <c r="AL30" s="1">
        <v>26969.792452830188</v>
      </c>
      <c r="AM30" s="1">
        <v>22387.337037037036</v>
      </c>
      <c r="AN30" s="9">
        <v>28850.355064027939</v>
      </c>
      <c r="AO30" s="1"/>
      <c r="AP30" s="1"/>
      <c r="AQ30" s="1">
        <v>28703.010752688173</v>
      </c>
      <c r="AR30" s="1">
        <v>28097.428</v>
      </c>
      <c r="AS30" s="1">
        <v>26286.023872679045</v>
      </c>
      <c r="AT30" s="1">
        <v>37255.442622950817</v>
      </c>
      <c r="AU30" s="1">
        <v>28022.470238095237</v>
      </c>
      <c r="AV30" s="1">
        <v>25143.45925925926</v>
      </c>
      <c r="AW30" s="1">
        <v>23256.03015075377</v>
      </c>
      <c r="AX30" s="1">
        <v>23539.438725490196</v>
      </c>
      <c r="AY30" s="1">
        <v>28437.068027210884</v>
      </c>
      <c r="AZ30" s="1">
        <v>33651.026936026938</v>
      </c>
      <c r="BA30" s="1">
        <v>29020.217105263157</v>
      </c>
      <c r="BB30" s="1">
        <v>68143.823529411762</v>
      </c>
      <c r="BC30" s="1">
        <v>25212.744063324539</v>
      </c>
      <c r="BD30" s="1">
        <v>40430.720000000001</v>
      </c>
      <c r="BE30" s="1">
        <v>28070.861111111109</v>
      </c>
      <c r="BF30" s="1">
        <v>23421.256983240222</v>
      </c>
      <c r="BG30" s="9">
        <v>28954.753718174943</v>
      </c>
      <c r="BH30" s="1"/>
      <c r="BI30" s="1"/>
      <c r="BJ30" s="1">
        <v>77838.635922330097</v>
      </c>
      <c r="BK30" s="1">
        <v>19619.323529411766</v>
      </c>
      <c r="BL30" s="1">
        <v>23307.304469273742</v>
      </c>
      <c r="BM30" s="1">
        <v>28158.259259259259</v>
      </c>
      <c r="BN30" s="1">
        <v>25858.702928870294</v>
      </c>
      <c r="BO30" s="1">
        <v>27318.469194312795</v>
      </c>
      <c r="BP30" s="1">
        <v>28032.982394366198</v>
      </c>
      <c r="BQ30" s="1">
        <v>25644.795620437955</v>
      </c>
      <c r="BR30" s="1">
        <v>22289.709090909091</v>
      </c>
      <c r="BS30" s="1">
        <v>24131.844594594593</v>
      </c>
      <c r="BT30" s="1">
        <v>31732.703180212015</v>
      </c>
      <c r="BU30" s="1">
        <v>26016.171779141103</v>
      </c>
      <c r="BV30" s="1">
        <v>25028.98016997167</v>
      </c>
      <c r="BW30" s="1">
        <v>19782.530864197532</v>
      </c>
      <c r="BX30" s="1">
        <v>21276.333333333332</v>
      </c>
      <c r="BY30" s="1">
        <v>23637.479853479854</v>
      </c>
      <c r="BZ30" s="9">
        <v>31006.358081979892</v>
      </c>
      <c r="CA30" s="1"/>
      <c r="CB30" s="1"/>
      <c r="CC30" s="1">
        <v>23241.060465116279</v>
      </c>
      <c r="CD30" s="1">
        <v>19390.866666666665</v>
      </c>
      <c r="CE30" s="1">
        <v>20260.776422764229</v>
      </c>
      <c r="CF30" s="1">
        <v>19243.243243243243</v>
      </c>
      <c r="CG30" s="1">
        <v>25932.471698113208</v>
      </c>
      <c r="CH30" s="1">
        <v>22417.327354260091</v>
      </c>
      <c r="CI30" s="1">
        <v>22389.666666666668</v>
      </c>
      <c r="CJ30" s="1">
        <v>24389.762557077625</v>
      </c>
      <c r="CK30" s="1">
        <v>21522.758904109589</v>
      </c>
      <c r="CL30" s="1">
        <v>37128.95945945946</v>
      </c>
      <c r="CM30" s="1">
        <v>31037.354748603353</v>
      </c>
      <c r="CN30" s="1">
        <v>25009.65</v>
      </c>
      <c r="CO30" s="1">
        <v>21543.133663366338</v>
      </c>
      <c r="CP30" s="1">
        <v>18426.164634146342</v>
      </c>
      <c r="CQ30" s="1">
        <v>27151.696969696968</v>
      </c>
      <c r="CR30" s="1">
        <v>23432.649006622516</v>
      </c>
      <c r="CS30" s="9">
        <v>23462.423251847642</v>
      </c>
      <c r="CT30" s="1"/>
      <c r="CU30" s="1"/>
      <c r="CV30" s="1">
        <v>29307.399280575541</v>
      </c>
      <c r="CW30" s="1">
        <v>21262.107660455487</v>
      </c>
      <c r="CX30" s="1">
        <v>22048.12365591398</v>
      </c>
      <c r="CY30" s="1">
        <v>26512.195121951219</v>
      </c>
      <c r="CZ30" s="1">
        <v>23622.038567493113</v>
      </c>
      <c r="DA30" s="1">
        <v>31811.568965517243</v>
      </c>
      <c r="DB30" s="1">
        <v>24617.397435897437</v>
      </c>
      <c r="DC30" s="1">
        <v>24526.460122699387</v>
      </c>
      <c r="DD30" s="1">
        <v>37593.754166666666</v>
      </c>
      <c r="DE30" s="1">
        <v>20078.373333333333</v>
      </c>
      <c r="DF30" s="1">
        <v>35515.040431266847</v>
      </c>
      <c r="DG30" s="1">
        <v>32926.98936170213</v>
      </c>
      <c r="DH30" s="1">
        <v>26192.360606060607</v>
      </c>
      <c r="DI30" s="1">
        <v>22853.612244897959</v>
      </c>
      <c r="DJ30" s="1">
        <v>26588.706896551725</v>
      </c>
      <c r="DK30" s="1">
        <v>26339.979423868313</v>
      </c>
      <c r="DL30" s="9">
        <v>26731.128972457627</v>
      </c>
      <c r="DM30" s="1"/>
      <c r="DN30" s="1"/>
      <c r="DO30" s="1">
        <v>23318.375</v>
      </c>
      <c r="DP30" s="1">
        <v>19091.667293233084</v>
      </c>
      <c r="DQ30" s="1">
        <v>21802.277777777777</v>
      </c>
      <c r="DR30" s="1">
        <v>28378.5</v>
      </c>
      <c r="DS30" s="1">
        <v>22923.07341772152</v>
      </c>
      <c r="DT30" s="1">
        <v>27368.268085106381</v>
      </c>
      <c r="DU30" s="1">
        <v>26845.44407894737</v>
      </c>
      <c r="DV30" s="1">
        <v>28823.981818181819</v>
      </c>
      <c r="DW30" s="1">
        <v>37420.582706766916</v>
      </c>
      <c r="DX30" s="1">
        <v>32957.142857142855</v>
      </c>
      <c r="DY30" s="1">
        <v>32433.530952380952</v>
      </c>
      <c r="DZ30" s="1">
        <v>30313.138888888891</v>
      </c>
      <c r="EA30" s="1">
        <v>32570.776902887141</v>
      </c>
      <c r="EB30" s="1">
        <v>16665.118644067796</v>
      </c>
      <c r="EC30" s="1">
        <v>24516.91304347826</v>
      </c>
      <c r="ED30" s="1">
        <v>23736.68556701031</v>
      </c>
      <c r="EE30" s="9">
        <v>27245.75332270069</v>
      </c>
      <c r="EF30" s="1"/>
      <c r="EG30" s="1"/>
      <c r="EH30" s="1">
        <v>21262.975903614457</v>
      </c>
      <c r="EI30" s="1">
        <v>22238.975728155339</v>
      </c>
      <c r="EJ30" s="1">
        <v>19782.403773584905</v>
      </c>
      <c r="EK30" s="1">
        <v>41689.272727272728</v>
      </c>
      <c r="EL30" s="1">
        <v>27105.148734177215</v>
      </c>
      <c r="EM30" s="1">
        <v>27060.101045296167</v>
      </c>
      <c r="EN30" s="1">
        <v>31110.25</v>
      </c>
      <c r="EO30" s="1">
        <v>24225.075075075074</v>
      </c>
      <c r="EP30" s="1">
        <v>25772.413385826771</v>
      </c>
      <c r="EQ30" s="1">
        <v>24560.156862745098</v>
      </c>
      <c r="ER30" s="1">
        <v>35782.788359788363</v>
      </c>
      <c r="ES30" s="1">
        <v>27246.066666666666</v>
      </c>
      <c r="ET30" s="1">
        <v>22851.221804511279</v>
      </c>
      <c r="EU30" s="1">
        <v>22084.817073170732</v>
      </c>
      <c r="EV30" s="1">
        <v>28301.592592592591</v>
      </c>
      <c r="EW30" s="1">
        <v>22748.936567164179</v>
      </c>
      <c r="EX30" s="9">
        <v>26590.568415051312</v>
      </c>
      <c r="EY30" s="1"/>
      <c r="EZ30" s="1"/>
      <c r="FA30" s="1">
        <v>21479.165829145728</v>
      </c>
      <c r="FB30" s="1">
        <v>24138.859030837004</v>
      </c>
      <c r="FC30" s="1">
        <v>21284.194767441859</v>
      </c>
      <c r="FD30" s="1">
        <v>43150.92</v>
      </c>
      <c r="FE30" s="1">
        <v>28373.281481481481</v>
      </c>
      <c r="FF30" s="1">
        <v>25297.556074766355</v>
      </c>
      <c r="FG30" s="1">
        <v>25377.095022624435</v>
      </c>
      <c r="FH30" s="1">
        <v>26208</v>
      </c>
      <c r="FI30" s="1">
        <v>21987.295302013423</v>
      </c>
      <c r="FJ30" s="1">
        <v>27872.463768115944</v>
      </c>
      <c r="FK30" s="1">
        <v>31506.935866983375</v>
      </c>
      <c r="FL30" s="1">
        <v>80420.557522123898</v>
      </c>
      <c r="FM30" s="1">
        <v>18020.171091445427</v>
      </c>
      <c r="FN30" s="1">
        <v>26139.092307692306</v>
      </c>
      <c r="FO30" s="1">
        <v>25295.53125</v>
      </c>
      <c r="FP30" s="1">
        <v>23428.903846153848</v>
      </c>
      <c r="FQ30" s="9">
        <v>26701.928382663849</v>
      </c>
      <c r="FR30" s="1"/>
      <c r="FS30" s="1"/>
      <c r="FT30" s="1">
        <v>59072.941176470587</v>
      </c>
      <c r="FU30" s="1">
        <v>26469.088642659281</v>
      </c>
      <c r="FV30" s="1">
        <v>23345.278409090908</v>
      </c>
      <c r="FW30" s="1">
        <v>27538.538461538461</v>
      </c>
      <c r="FX30" s="1">
        <v>24487.767527675278</v>
      </c>
      <c r="FY30" s="1">
        <v>20335.380327868854</v>
      </c>
      <c r="FZ30" s="1">
        <v>29132.208144796379</v>
      </c>
      <c r="GA30" s="1">
        <v>28942.868055555555</v>
      </c>
      <c r="GB30" s="1">
        <v>22650.441666666666</v>
      </c>
      <c r="GC30" s="1">
        <v>28643.114285714284</v>
      </c>
      <c r="GD30" s="1">
        <v>32704.354929577465</v>
      </c>
      <c r="GE30" s="1">
        <v>69029.224299065419</v>
      </c>
      <c r="GF30" s="1">
        <v>23130.063670411986</v>
      </c>
      <c r="GG30" s="1">
        <v>46217.34210526316</v>
      </c>
      <c r="GH30" s="1">
        <v>33757.666666666664</v>
      </c>
      <c r="GI30" s="1">
        <v>25965.452941176471</v>
      </c>
      <c r="GJ30" s="9">
        <v>29932.021754143647</v>
      </c>
      <c r="GK30" s="1"/>
      <c r="GL30" s="1"/>
      <c r="GM30" s="1">
        <v>28547.307692307691</v>
      </c>
      <c r="GN30" s="1">
        <v>23689.016597510374</v>
      </c>
      <c r="GO30" s="1">
        <v>20821.698347107438</v>
      </c>
      <c r="GP30" s="1">
        <v>24732.428571428572</v>
      </c>
      <c r="GQ30" s="1">
        <v>25947.335877862595</v>
      </c>
      <c r="GR30" s="1">
        <v>21122.119565217392</v>
      </c>
      <c r="GS30" s="1">
        <v>24607.65</v>
      </c>
      <c r="GT30" s="1">
        <v>21593.959390862943</v>
      </c>
      <c r="GU30" s="1">
        <v>22133.364864864863</v>
      </c>
      <c r="GV30" s="1">
        <v>24655.393700787401</v>
      </c>
      <c r="GW30" s="1">
        <v>24935.734939759037</v>
      </c>
      <c r="GX30" s="1">
        <v>25355.18604651163</v>
      </c>
      <c r="GY30" s="1">
        <v>20426.325000000001</v>
      </c>
      <c r="GZ30" s="1">
        <v>25250</v>
      </c>
      <c r="HA30" s="1">
        <v>20132.871794871793</v>
      </c>
      <c r="HB30" s="1">
        <v>22461.493392070486</v>
      </c>
      <c r="HC30" s="9">
        <v>23374.590326126785</v>
      </c>
      <c r="HD30" s="1"/>
      <c r="HE30" s="1"/>
      <c r="HF30" s="1">
        <v>49054.81171548117</v>
      </c>
      <c r="HG30" s="1">
        <v>28780.967871485944</v>
      </c>
      <c r="HH30" s="1">
        <v>28250.212686567163</v>
      </c>
      <c r="HI30" s="1">
        <v>16396.363636363636</v>
      </c>
      <c r="HJ30" s="1">
        <v>19588.214814814815</v>
      </c>
      <c r="HK30" s="1">
        <v>22611.466165413534</v>
      </c>
      <c r="HL30" s="1">
        <v>25630.588541666668</v>
      </c>
      <c r="HM30" s="1">
        <v>23191.5</v>
      </c>
      <c r="HN30" s="1">
        <v>21600</v>
      </c>
      <c r="HO30" s="1">
        <v>22095.796296296296</v>
      </c>
      <c r="HP30" s="1">
        <v>28429.770392749244</v>
      </c>
      <c r="HQ30" s="1">
        <v>23538.239130434784</v>
      </c>
      <c r="HR30" s="1">
        <v>22585.092307692306</v>
      </c>
      <c r="HS30" s="1">
        <v>21395.953488372092</v>
      </c>
      <c r="HT30" s="1">
        <v>29423.08695652174</v>
      </c>
      <c r="HU30" s="1">
        <v>19194.494444444445</v>
      </c>
      <c r="HV30" s="9">
        <v>26368.04</v>
      </c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</row>
    <row r="31" spans="1:249" hidden="1" x14ac:dyDescent="0.4">
      <c r="A31" t="s">
        <v>43</v>
      </c>
      <c r="B31" t="s">
        <v>19</v>
      </c>
      <c r="C31" s="1"/>
      <c r="D31" s="1"/>
      <c r="E31" s="1">
        <v>231000</v>
      </c>
      <c r="F31" s="1">
        <v>234871.22222222222</v>
      </c>
      <c r="G31" s="1">
        <v>218400</v>
      </c>
      <c r="H31" s="1">
        <v>230969.53333333333</v>
      </c>
      <c r="I31" s="1">
        <v>245455</v>
      </c>
      <c r="J31" s="1">
        <v>212727.27777777778</v>
      </c>
      <c r="K31" s="1">
        <v>230379.81578947368</v>
      </c>
      <c r="L31" s="1">
        <v>190909</v>
      </c>
      <c r="M31" s="1">
        <v>211600</v>
      </c>
      <c r="N31" s="1">
        <v>197000</v>
      </c>
      <c r="O31" s="1"/>
      <c r="P31" s="1"/>
      <c r="Q31" s="1">
        <v>205000</v>
      </c>
      <c r="R31" s="1">
        <v>200000</v>
      </c>
      <c r="S31" s="1">
        <v>150000</v>
      </c>
      <c r="T31" s="1">
        <v>189200</v>
      </c>
      <c r="U31" s="9">
        <v>221193.68322981367</v>
      </c>
      <c r="V31" s="1"/>
      <c r="W31" s="1"/>
      <c r="X31" s="1">
        <v>250000</v>
      </c>
      <c r="Y31" s="1">
        <v>206875</v>
      </c>
      <c r="Z31" s="1">
        <v>208000</v>
      </c>
      <c r="AA31" s="1">
        <v>199166.66666666666</v>
      </c>
      <c r="AB31" s="1">
        <v>200000</v>
      </c>
      <c r="AC31" s="1">
        <v>193522.75</v>
      </c>
      <c r="AD31" s="1">
        <v>202900</v>
      </c>
      <c r="AE31" s="1"/>
      <c r="AF31" s="1">
        <v>190000</v>
      </c>
      <c r="AG31" s="1">
        <v>150000</v>
      </c>
      <c r="AH31" s="1">
        <v>338400</v>
      </c>
      <c r="AI31" s="1">
        <v>201818</v>
      </c>
      <c r="AJ31" s="1">
        <v>225000</v>
      </c>
      <c r="AK31" s="1">
        <v>170000</v>
      </c>
      <c r="AL31" s="1">
        <v>163636</v>
      </c>
      <c r="AM31" s="1">
        <v>200000</v>
      </c>
      <c r="AN31" s="9">
        <v>218714.05660377358</v>
      </c>
      <c r="AO31" s="1"/>
      <c r="AP31" s="1"/>
      <c r="AQ31" s="1">
        <v>171688.28571428571</v>
      </c>
      <c r="AR31" s="1">
        <v>194500</v>
      </c>
      <c r="AS31" s="1">
        <v>189913.60000000001</v>
      </c>
      <c r="AT31" s="1"/>
      <c r="AU31" s="1">
        <v>199204.5</v>
      </c>
      <c r="AV31" s="1">
        <v>206298.71428571429</v>
      </c>
      <c r="AW31" s="1">
        <v>194636.3</v>
      </c>
      <c r="AX31" s="1"/>
      <c r="AY31" s="1">
        <v>195000</v>
      </c>
      <c r="AZ31" s="1">
        <v>160000</v>
      </c>
      <c r="BA31" s="1">
        <v>210000</v>
      </c>
      <c r="BB31" s="1">
        <v>160000</v>
      </c>
      <c r="BC31" s="1"/>
      <c r="BD31" s="1"/>
      <c r="BE31" s="1">
        <v>171818</v>
      </c>
      <c r="BF31" s="1">
        <v>189000</v>
      </c>
      <c r="BG31" s="9">
        <v>191438.04347826086</v>
      </c>
      <c r="BH31" s="1"/>
      <c r="BI31" s="1"/>
      <c r="BJ31" s="1">
        <v>246000</v>
      </c>
      <c r="BK31" s="1">
        <v>205000</v>
      </c>
      <c r="BL31" s="1">
        <v>181818</v>
      </c>
      <c r="BM31" s="1">
        <v>190000</v>
      </c>
      <c r="BN31" s="1"/>
      <c r="BO31" s="1">
        <v>261516.19047619047</v>
      </c>
      <c r="BP31" s="1">
        <v>227272.5</v>
      </c>
      <c r="BQ31" s="1">
        <v>200000</v>
      </c>
      <c r="BR31" s="1">
        <v>160000</v>
      </c>
      <c r="BS31" s="1"/>
      <c r="BT31" s="1">
        <v>200000</v>
      </c>
      <c r="BU31" s="1"/>
      <c r="BV31" s="1">
        <v>185000</v>
      </c>
      <c r="BW31" s="1"/>
      <c r="BX31" s="1">
        <v>169772.75</v>
      </c>
      <c r="BY31" s="1"/>
      <c r="BZ31" s="9">
        <v>204947.71538461538</v>
      </c>
      <c r="CA31" s="1"/>
      <c r="CB31" s="1"/>
      <c r="CC31" s="1">
        <v>180000</v>
      </c>
      <c r="CD31" s="1">
        <v>175000</v>
      </c>
      <c r="CE31" s="1">
        <v>180000</v>
      </c>
      <c r="CF31" s="1">
        <v>204000</v>
      </c>
      <c r="CG31" s="1"/>
      <c r="CH31" s="1">
        <v>160000</v>
      </c>
      <c r="CI31" s="1"/>
      <c r="CJ31" s="1">
        <v>187500</v>
      </c>
      <c r="CK31" s="1">
        <v>187000</v>
      </c>
      <c r="CL31" s="1"/>
      <c r="CM31" s="1">
        <v>213333.33333333334</v>
      </c>
      <c r="CN31" s="1">
        <v>160000</v>
      </c>
      <c r="CO31" s="1">
        <v>378000</v>
      </c>
      <c r="CP31" s="1">
        <v>160000</v>
      </c>
      <c r="CQ31" s="1">
        <v>182272.66666666666</v>
      </c>
      <c r="CR31" s="1"/>
      <c r="CS31" s="9">
        <v>197762.23076923078</v>
      </c>
      <c r="CT31" s="1"/>
      <c r="CU31" s="1"/>
      <c r="CV31" s="1">
        <v>218000</v>
      </c>
      <c r="CW31" s="1">
        <v>195000</v>
      </c>
      <c r="CX31" s="1">
        <v>171764.70588235295</v>
      </c>
      <c r="CY31" s="1"/>
      <c r="CZ31" s="1">
        <v>160000</v>
      </c>
      <c r="DA31" s="1">
        <v>170000</v>
      </c>
      <c r="DB31" s="1">
        <v>205000</v>
      </c>
      <c r="DC31" s="1"/>
      <c r="DD31" s="1">
        <v>185000</v>
      </c>
      <c r="DE31" s="1"/>
      <c r="DF31" s="1">
        <v>206666.66666666666</v>
      </c>
      <c r="DG31" s="1">
        <v>190000</v>
      </c>
      <c r="DH31" s="1">
        <v>320285.71428571426</v>
      </c>
      <c r="DI31" s="1">
        <v>160000</v>
      </c>
      <c r="DJ31" s="1">
        <v>163636.66666666666</v>
      </c>
      <c r="DK31" s="1"/>
      <c r="DL31" s="9">
        <v>204519.78260869565</v>
      </c>
      <c r="DM31" s="1"/>
      <c r="DN31" s="1"/>
      <c r="DO31" s="1">
        <v>379000</v>
      </c>
      <c r="DP31" s="1">
        <v>185000</v>
      </c>
      <c r="DQ31" s="1">
        <v>200000</v>
      </c>
      <c r="DR31" s="1"/>
      <c r="DS31" s="1"/>
      <c r="DT31" s="1">
        <v>166666.66666666666</v>
      </c>
      <c r="DU31" s="1">
        <v>190000</v>
      </c>
      <c r="DV31" s="1"/>
      <c r="DW31" s="1">
        <v>223571.42857142858</v>
      </c>
      <c r="DX31" s="1">
        <v>180000</v>
      </c>
      <c r="DY31" s="1">
        <v>200000</v>
      </c>
      <c r="DZ31" s="1"/>
      <c r="EA31" s="1">
        <v>200000</v>
      </c>
      <c r="EB31" s="1">
        <v>159621.16666666666</v>
      </c>
      <c r="EC31" s="1">
        <v>184545.33333333334</v>
      </c>
      <c r="ED31" s="1"/>
      <c r="EE31" s="9">
        <v>230129.85714285713</v>
      </c>
      <c r="EF31" s="1"/>
      <c r="EG31" s="1"/>
      <c r="EH31" s="1">
        <v>195000</v>
      </c>
      <c r="EI31" s="1">
        <v>224467.42857142858</v>
      </c>
      <c r="EJ31" s="1">
        <v>210000</v>
      </c>
      <c r="EK31" s="1">
        <v>200000</v>
      </c>
      <c r="EL31" s="1"/>
      <c r="EM31" s="1">
        <v>187954.25</v>
      </c>
      <c r="EN31" s="1">
        <v>180227.25</v>
      </c>
      <c r="EO31" s="1"/>
      <c r="EP31" s="1">
        <v>180000</v>
      </c>
      <c r="EQ31" s="1">
        <v>190000</v>
      </c>
      <c r="ER31" s="1">
        <v>216666.66666666666</v>
      </c>
      <c r="ES31" s="1">
        <v>170000</v>
      </c>
      <c r="ET31" s="1"/>
      <c r="EU31" s="1">
        <v>180000</v>
      </c>
      <c r="EV31" s="1">
        <v>159090.5</v>
      </c>
      <c r="EW31" s="1"/>
      <c r="EX31" s="9">
        <v>194088.22857142857</v>
      </c>
      <c r="EY31" s="1"/>
      <c r="EZ31" s="1">
        <v>464600</v>
      </c>
      <c r="FA31" s="1">
        <v>192500</v>
      </c>
      <c r="FB31" s="1">
        <v>222500</v>
      </c>
      <c r="FC31" s="1">
        <v>176250</v>
      </c>
      <c r="FD31" s="1"/>
      <c r="FE31" s="1"/>
      <c r="FF31" s="1">
        <v>205757.33333333334</v>
      </c>
      <c r="FG31" s="1">
        <v>205750</v>
      </c>
      <c r="FH31" s="1"/>
      <c r="FI31" s="1">
        <v>180000</v>
      </c>
      <c r="FJ31" s="1"/>
      <c r="FK31" s="1">
        <v>195000</v>
      </c>
      <c r="FL31" s="1"/>
      <c r="FM31" s="1">
        <v>230000</v>
      </c>
      <c r="FN31" s="1">
        <v>195000</v>
      </c>
      <c r="FO31" s="1">
        <v>216060.66666666666</v>
      </c>
      <c r="FP31" s="1">
        <v>180000</v>
      </c>
      <c r="FQ31" s="9">
        <v>252827.02564102566</v>
      </c>
      <c r="FR31" s="1"/>
      <c r="FS31" s="1"/>
      <c r="FT31" s="1">
        <v>206000</v>
      </c>
      <c r="FU31" s="1">
        <v>210000</v>
      </c>
      <c r="FV31" s="1">
        <v>196666.66666666666</v>
      </c>
      <c r="FW31" s="1">
        <v>200000</v>
      </c>
      <c r="FX31" s="1"/>
      <c r="FY31" s="1">
        <v>253388.45454545456</v>
      </c>
      <c r="FZ31" s="1">
        <v>200000</v>
      </c>
      <c r="GA31" s="1"/>
      <c r="GB31" s="1"/>
      <c r="GC31" s="1">
        <v>180000</v>
      </c>
      <c r="GD31" s="1"/>
      <c r="GE31" s="1"/>
      <c r="GF31" s="1"/>
      <c r="GG31" s="1">
        <v>165333.33333333334</v>
      </c>
      <c r="GH31" s="1">
        <v>145454.6</v>
      </c>
      <c r="GI31" s="1"/>
      <c r="GJ31" s="9">
        <v>207204.5625</v>
      </c>
      <c r="GK31" s="1"/>
      <c r="GL31" s="1"/>
      <c r="GM31" s="1">
        <v>215000</v>
      </c>
      <c r="GN31" s="1">
        <v>252500</v>
      </c>
      <c r="GO31" s="1">
        <v>215750</v>
      </c>
      <c r="GP31" s="1">
        <v>227090.88888888888</v>
      </c>
      <c r="GQ31" s="1"/>
      <c r="GR31" s="1">
        <v>190000</v>
      </c>
      <c r="GS31" s="1">
        <v>209091</v>
      </c>
      <c r="GT31" s="1"/>
      <c r="GU31" s="1">
        <v>180000</v>
      </c>
      <c r="GV31" s="1"/>
      <c r="GW31" s="1">
        <v>180000</v>
      </c>
      <c r="GX31" s="1">
        <v>180000</v>
      </c>
      <c r="GY31" s="1">
        <v>178000</v>
      </c>
      <c r="GZ31" s="1">
        <v>150000</v>
      </c>
      <c r="HA31" s="1"/>
      <c r="HB31" s="1"/>
      <c r="HC31" s="9">
        <v>213463.63333333333</v>
      </c>
      <c r="HD31" s="1"/>
      <c r="HE31" s="1"/>
      <c r="HF31" s="1"/>
      <c r="HG31" s="1">
        <v>210000</v>
      </c>
      <c r="HH31" s="1"/>
      <c r="HI31" s="1"/>
      <c r="HJ31" s="1">
        <v>175909</v>
      </c>
      <c r="HK31" s="1">
        <v>210000</v>
      </c>
      <c r="HL31" s="1">
        <v>175000</v>
      </c>
      <c r="HM31" s="1">
        <v>197727.25</v>
      </c>
      <c r="HN31" s="1">
        <v>176363.5</v>
      </c>
      <c r="HO31" s="1"/>
      <c r="HP31" s="1"/>
      <c r="HQ31" s="1">
        <v>205000</v>
      </c>
      <c r="HR31" s="1">
        <v>236364</v>
      </c>
      <c r="HS31" s="1">
        <v>174500</v>
      </c>
      <c r="HT31" s="1">
        <v>165454.33333333334</v>
      </c>
      <c r="HU31" s="1"/>
      <c r="HV31" s="9">
        <v>186772.68181818182</v>
      </c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</row>
    <row r="32" spans="1:249" s="6" customFormat="1" hidden="1" x14ac:dyDescent="0.4">
      <c r="A32" s="6" t="s">
        <v>43</v>
      </c>
      <c r="B32" s="6" t="s">
        <v>27</v>
      </c>
      <c r="C32" s="7"/>
      <c r="D32" s="7"/>
      <c r="E32" s="7">
        <v>195916.66666666666</v>
      </c>
      <c r="F32" s="7">
        <v>206108.65217391305</v>
      </c>
      <c r="G32" s="7">
        <v>148060.6</v>
      </c>
      <c r="H32" s="7">
        <v>114597.4</v>
      </c>
      <c r="I32" s="7">
        <v>77272</v>
      </c>
      <c r="J32" s="7">
        <v>127272.66666666667</v>
      </c>
      <c r="K32" s="7">
        <v>98820.813559322036</v>
      </c>
      <c r="L32" s="7">
        <v>104285.71428571429</v>
      </c>
      <c r="M32" s="7">
        <v>120154.54545454546</v>
      </c>
      <c r="N32" s="7">
        <v>142704</v>
      </c>
      <c r="O32" s="7">
        <v>133900</v>
      </c>
      <c r="P32" s="7">
        <v>93333.333333333328</v>
      </c>
      <c r="Q32" s="7"/>
      <c r="R32" s="7">
        <v>93629.411764705888</v>
      </c>
      <c r="S32" s="7">
        <v>130909</v>
      </c>
      <c r="T32" s="7">
        <v>113030</v>
      </c>
      <c r="U32" s="9">
        <v>124631.31428571428</v>
      </c>
      <c r="V32" s="7"/>
      <c r="W32" s="7">
        <v>195000</v>
      </c>
      <c r="X32" s="7">
        <v>141160</v>
      </c>
      <c r="Y32" s="7">
        <v>123275.86206896552</v>
      </c>
      <c r="Z32" s="7">
        <v>172066.09090909091</v>
      </c>
      <c r="AA32" s="7">
        <v>87857.142857142855</v>
      </c>
      <c r="AB32" s="7">
        <v>90454.5</v>
      </c>
      <c r="AC32" s="7">
        <v>161730.90909090909</v>
      </c>
      <c r="AD32" s="7">
        <v>113333.33333333333</v>
      </c>
      <c r="AE32" s="7">
        <v>108080.77777777778</v>
      </c>
      <c r="AF32" s="7">
        <v>163928.57142857142</v>
      </c>
      <c r="AG32" s="7">
        <v>135000</v>
      </c>
      <c r="AH32" s="7">
        <v>102000</v>
      </c>
      <c r="AI32" s="7"/>
      <c r="AJ32" s="7">
        <v>120000</v>
      </c>
      <c r="AK32" s="7">
        <v>125000</v>
      </c>
      <c r="AL32" s="7">
        <v>100000</v>
      </c>
      <c r="AM32" s="7">
        <v>147272.72727272726</v>
      </c>
      <c r="AN32" s="9">
        <v>133758.35416666666</v>
      </c>
      <c r="AO32" s="7"/>
      <c r="AP32" s="7">
        <v>242500</v>
      </c>
      <c r="AQ32" s="7">
        <v>150058.82352941178</v>
      </c>
      <c r="AR32" s="7">
        <v>146883.10714285713</v>
      </c>
      <c r="AS32" s="7">
        <v>121250</v>
      </c>
      <c r="AT32" s="7">
        <v>119516.67543859649</v>
      </c>
      <c r="AU32" s="7">
        <v>135000</v>
      </c>
      <c r="AV32" s="7">
        <v>152441.95000000001</v>
      </c>
      <c r="AW32" s="7">
        <v>115355.53333333334</v>
      </c>
      <c r="AX32" s="7">
        <v>119854.53333333334</v>
      </c>
      <c r="AY32" s="7">
        <v>105000</v>
      </c>
      <c r="AZ32" s="7">
        <v>91250</v>
      </c>
      <c r="BA32" s="7">
        <v>139642.85714285713</v>
      </c>
      <c r="BB32" s="7">
        <v>94242.333333333328</v>
      </c>
      <c r="BC32" s="7"/>
      <c r="BD32" s="7">
        <v>91048.666666666672</v>
      </c>
      <c r="BE32" s="7">
        <v>91398.538461538468</v>
      </c>
      <c r="BF32" s="7">
        <v>106500</v>
      </c>
      <c r="BG32" s="9">
        <v>123813.4793187348</v>
      </c>
      <c r="BH32" s="7"/>
      <c r="BI32" s="7">
        <v>190000</v>
      </c>
      <c r="BJ32" s="7">
        <v>127266.66666666667</v>
      </c>
      <c r="BK32" s="7">
        <v>136000</v>
      </c>
      <c r="BL32" s="7">
        <v>136493.57142857142</v>
      </c>
      <c r="BM32" s="7">
        <v>109285.71428571429</v>
      </c>
      <c r="BN32" s="7">
        <v>90000</v>
      </c>
      <c r="BO32" s="7">
        <v>155769.23076923078</v>
      </c>
      <c r="BP32" s="7">
        <v>160952.38095238095</v>
      </c>
      <c r="BQ32" s="7">
        <v>125192.30769230769</v>
      </c>
      <c r="BR32" s="7">
        <v>105000</v>
      </c>
      <c r="BS32" s="7">
        <v>91666.666666666672</v>
      </c>
      <c r="BT32" s="7">
        <v>120000</v>
      </c>
      <c r="BU32" s="7">
        <v>92000</v>
      </c>
      <c r="BV32" s="7"/>
      <c r="BW32" s="7">
        <v>71583.62</v>
      </c>
      <c r="BX32" s="7">
        <v>95454.5</v>
      </c>
      <c r="BY32" s="7">
        <v>130000</v>
      </c>
      <c r="BZ32" s="9">
        <v>117507.2311827957</v>
      </c>
      <c r="CA32" s="7"/>
      <c r="CB32" s="7">
        <v>225000</v>
      </c>
      <c r="CC32" s="7">
        <v>127500</v>
      </c>
      <c r="CD32" s="7">
        <v>138333.33333333334</v>
      </c>
      <c r="CE32" s="7">
        <v>153200</v>
      </c>
      <c r="CF32" s="7">
        <v>96477.25</v>
      </c>
      <c r="CG32" s="7">
        <v>100000</v>
      </c>
      <c r="CH32" s="7">
        <v>121000</v>
      </c>
      <c r="CI32" s="7">
        <v>133333.33333333334</v>
      </c>
      <c r="CJ32" s="7">
        <v>93560.5</v>
      </c>
      <c r="CK32" s="7">
        <v>127500</v>
      </c>
      <c r="CL32" s="7">
        <v>110000</v>
      </c>
      <c r="CM32" s="7">
        <v>107500</v>
      </c>
      <c r="CN32" s="7">
        <v>100000</v>
      </c>
      <c r="CO32" s="7">
        <v>171428.57142857142</v>
      </c>
      <c r="CP32" s="7">
        <v>82386.416666666672</v>
      </c>
      <c r="CQ32" s="7">
        <v>84545.333333333328</v>
      </c>
      <c r="CR32" s="7"/>
      <c r="CS32" s="9">
        <v>126361.82178217822</v>
      </c>
      <c r="CT32" s="7"/>
      <c r="CU32" s="7">
        <v>188117.64705882352</v>
      </c>
      <c r="CV32" s="7">
        <v>165299.41176470587</v>
      </c>
      <c r="CW32" s="7">
        <v>154038.46153846153</v>
      </c>
      <c r="CX32" s="7">
        <v>130423.07692307692</v>
      </c>
      <c r="CY32" s="7">
        <v>161676.125</v>
      </c>
      <c r="CZ32" s="7">
        <v>99636.4</v>
      </c>
      <c r="DA32" s="7">
        <v>177100</v>
      </c>
      <c r="DB32" s="7">
        <v>113600</v>
      </c>
      <c r="DC32" s="7">
        <v>93750</v>
      </c>
      <c r="DD32" s="7">
        <v>125728.57142857143</v>
      </c>
      <c r="DE32" s="7">
        <v>121917.64705882352</v>
      </c>
      <c r="DF32" s="7">
        <v>110000</v>
      </c>
      <c r="DG32" s="7">
        <v>105000</v>
      </c>
      <c r="DH32" s="7">
        <v>198500</v>
      </c>
      <c r="DI32" s="7">
        <v>133875</v>
      </c>
      <c r="DJ32" s="7">
        <v>198500</v>
      </c>
      <c r="DK32" s="7"/>
      <c r="DL32" s="9">
        <v>147456.17030567685</v>
      </c>
      <c r="DM32" s="7"/>
      <c r="DN32" s="7">
        <v>240000</v>
      </c>
      <c r="DO32" s="7">
        <v>115000</v>
      </c>
      <c r="DP32" s="7">
        <v>133912.5</v>
      </c>
      <c r="DQ32" s="7">
        <v>172941.17647058822</v>
      </c>
      <c r="DR32" s="7">
        <v>133400</v>
      </c>
      <c r="DS32" s="7">
        <v>109091</v>
      </c>
      <c r="DT32" s="7">
        <v>120000</v>
      </c>
      <c r="DU32" s="7">
        <v>100000</v>
      </c>
      <c r="DV32" s="7">
        <v>80000</v>
      </c>
      <c r="DW32" s="7">
        <v>115151.44444444444</v>
      </c>
      <c r="DX32" s="7">
        <v>140866.66666666666</v>
      </c>
      <c r="DY32" s="7">
        <v>100000</v>
      </c>
      <c r="DZ32" s="7">
        <v>153520</v>
      </c>
      <c r="EA32" s="7">
        <v>122000</v>
      </c>
      <c r="EB32" s="7">
        <v>117320</v>
      </c>
      <c r="EC32" s="7">
        <v>105000</v>
      </c>
      <c r="ED32" s="7">
        <v>70000</v>
      </c>
      <c r="EE32" s="9">
        <v>139320.40740740742</v>
      </c>
      <c r="EF32" s="7"/>
      <c r="EG32" s="7"/>
      <c r="EH32" s="7">
        <v>138863.625</v>
      </c>
      <c r="EI32" s="7">
        <v>114500</v>
      </c>
      <c r="EJ32" s="7">
        <v>169465.23529411765</v>
      </c>
      <c r="EK32" s="7">
        <v>122000</v>
      </c>
      <c r="EL32" s="7"/>
      <c r="EM32" s="7">
        <v>104000</v>
      </c>
      <c r="EN32" s="7">
        <v>113750</v>
      </c>
      <c r="EO32" s="7">
        <v>94545.4</v>
      </c>
      <c r="EP32" s="7">
        <v>105888.88888888889</v>
      </c>
      <c r="EQ32" s="7">
        <v>130000</v>
      </c>
      <c r="ER32" s="7">
        <v>110000</v>
      </c>
      <c r="ES32" s="7"/>
      <c r="ET32" s="7"/>
      <c r="EU32" s="7">
        <v>73295.25</v>
      </c>
      <c r="EV32" s="7"/>
      <c r="EW32" s="7"/>
      <c r="EX32" s="9">
        <v>124942.24324324324</v>
      </c>
      <c r="EY32" s="7"/>
      <c r="EZ32" s="7">
        <v>208571.42857142858</v>
      </c>
      <c r="FA32" s="7">
        <v>175333.33333333334</v>
      </c>
      <c r="FB32" s="7">
        <v>118333.33333333333</v>
      </c>
      <c r="FC32" s="7">
        <v>127750</v>
      </c>
      <c r="FD32" s="7">
        <v>131000</v>
      </c>
      <c r="FE32" s="7">
        <v>90909</v>
      </c>
      <c r="FF32" s="7">
        <v>132777.77777777778</v>
      </c>
      <c r="FG32" s="7">
        <v>95000</v>
      </c>
      <c r="FH32" s="7">
        <v>157142.85714285713</v>
      </c>
      <c r="FI32" s="7">
        <v>105000</v>
      </c>
      <c r="FJ32" s="7">
        <v>147878.04878048779</v>
      </c>
      <c r="FK32" s="7">
        <v>102500</v>
      </c>
      <c r="FL32" s="7">
        <v>95454.5</v>
      </c>
      <c r="FM32" s="7">
        <v>115000</v>
      </c>
      <c r="FN32" s="7">
        <v>104469.66666666667</v>
      </c>
      <c r="FO32" s="7">
        <v>84090.75</v>
      </c>
      <c r="FP32" s="7">
        <v>63750</v>
      </c>
      <c r="FQ32" s="9">
        <v>133670.51445086705</v>
      </c>
      <c r="FR32" s="7"/>
      <c r="FS32" s="7">
        <v>195151.5</v>
      </c>
      <c r="FT32" s="7">
        <v>190000</v>
      </c>
      <c r="FU32" s="7">
        <v>125250</v>
      </c>
      <c r="FV32" s="7">
        <v>100000</v>
      </c>
      <c r="FW32" s="7"/>
      <c r="FX32" s="7"/>
      <c r="FY32" s="7">
        <v>132272.72727272726</v>
      </c>
      <c r="FZ32" s="7">
        <v>100000</v>
      </c>
      <c r="GA32" s="7">
        <v>90000</v>
      </c>
      <c r="GB32" s="7">
        <v>90000</v>
      </c>
      <c r="GC32" s="7"/>
      <c r="GD32" s="7">
        <v>100000</v>
      </c>
      <c r="GE32" s="7">
        <v>96363.5</v>
      </c>
      <c r="GF32" s="7"/>
      <c r="GG32" s="7"/>
      <c r="GH32" s="7"/>
      <c r="GI32" s="7"/>
      <c r="GJ32" s="9">
        <v>128146.45833333333</v>
      </c>
      <c r="GK32" s="7"/>
      <c r="GL32" s="7"/>
      <c r="GM32" s="7">
        <v>132000</v>
      </c>
      <c r="GN32" s="7">
        <v>134285.71428571429</v>
      </c>
      <c r="GO32" s="7">
        <v>139696.88888888888</v>
      </c>
      <c r="GP32" s="7">
        <v>92188.28571428571</v>
      </c>
      <c r="GQ32" s="7">
        <v>124000</v>
      </c>
      <c r="GR32" s="7">
        <v>118333.33333333333</v>
      </c>
      <c r="GS32" s="7">
        <v>117818.2</v>
      </c>
      <c r="GT32" s="7"/>
      <c r="GU32" s="7">
        <v>106666.66666666667</v>
      </c>
      <c r="GV32" s="7">
        <v>259375</v>
      </c>
      <c r="GW32" s="7">
        <v>115000</v>
      </c>
      <c r="GX32" s="7">
        <v>110000</v>
      </c>
      <c r="GY32" s="7">
        <v>115000</v>
      </c>
      <c r="GZ32" s="7">
        <v>90000</v>
      </c>
      <c r="HA32" s="7"/>
      <c r="HB32" s="7"/>
      <c r="HC32" s="9">
        <v>133121.67708333334</v>
      </c>
      <c r="HD32" s="7"/>
      <c r="HE32" s="7">
        <v>225000</v>
      </c>
      <c r="HF32" s="7"/>
      <c r="HG32" s="7">
        <v>144230.76923076922</v>
      </c>
      <c r="HH32" s="7">
        <v>105000</v>
      </c>
      <c r="HI32" s="7">
        <v>96250</v>
      </c>
      <c r="HJ32" s="7">
        <v>100000</v>
      </c>
      <c r="HK32" s="7">
        <v>130000</v>
      </c>
      <c r="HL32" s="7">
        <v>125397.75</v>
      </c>
      <c r="HM32" s="7">
        <v>94202.942028985504</v>
      </c>
      <c r="HN32" s="7">
        <v>142500</v>
      </c>
      <c r="HO32" s="7">
        <v>123333.33333333333</v>
      </c>
      <c r="HP32" s="7">
        <v>85937.5</v>
      </c>
      <c r="HQ32" s="7"/>
      <c r="HR32" s="7">
        <v>195032.46428571429</v>
      </c>
      <c r="HS32" s="7">
        <v>95454</v>
      </c>
      <c r="HT32" s="7">
        <v>102272.75</v>
      </c>
      <c r="HU32" s="7"/>
      <c r="HV32" s="9">
        <v>121967.86585365854</v>
      </c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</row>
    <row r="33" spans="1:249" hidden="1" x14ac:dyDescent="0.4">
      <c r="A33" t="s">
        <v>43</v>
      </c>
      <c r="B33" t="s">
        <v>51</v>
      </c>
      <c r="C33" s="1"/>
      <c r="D33" s="1"/>
      <c r="E33" s="1">
        <v>128100</v>
      </c>
      <c r="F33" s="1">
        <v>118120</v>
      </c>
      <c r="G33" s="1">
        <v>145454</v>
      </c>
      <c r="H33" s="1">
        <v>117500</v>
      </c>
      <c r="I33" s="1">
        <v>90240</v>
      </c>
      <c r="J33" s="1">
        <v>84600</v>
      </c>
      <c r="K33" s="1">
        <v>111380</v>
      </c>
      <c r="L33" s="1">
        <v>115076.42105263157</v>
      </c>
      <c r="M33" s="1">
        <v>113293.57142857143</v>
      </c>
      <c r="N33" s="1">
        <v>89300</v>
      </c>
      <c r="O33" s="1">
        <v>103170</v>
      </c>
      <c r="P33" s="1"/>
      <c r="Q33" s="1">
        <v>81467</v>
      </c>
      <c r="R33" s="1">
        <v>102298</v>
      </c>
      <c r="S33" s="1"/>
      <c r="T33" s="1">
        <v>84600</v>
      </c>
      <c r="U33" s="9">
        <v>109522.76744186046</v>
      </c>
      <c r="V33" s="1"/>
      <c r="W33" s="1"/>
      <c r="X33" s="1">
        <v>117419</v>
      </c>
      <c r="Y33" s="1">
        <v>83425</v>
      </c>
      <c r="Z33" s="1">
        <v>124393.25</v>
      </c>
      <c r="AA33" s="1">
        <v>210000</v>
      </c>
      <c r="AB33" s="1">
        <v>140250</v>
      </c>
      <c r="AC33" s="1">
        <v>76909</v>
      </c>
      <c r="AD33" s="1">
        <v>94000</v>
      </c>
      <c r="AE33" s="1"/>
      <c r="AF33" s="1">
        <v>142000</v>
      </c>
      <c r="AG33" s="1">
        <v>76909</v>
      </c>
      <c r="AH33" s="1">
        <v>109040</v>
      </c>
      <c r="AI33" s="1"/>
      <c r="AJ33" s="1">
        <v>150000</v>
      </c>
      <c r="AK33" s="1">
        <v>93794</v>
      </c>
      <c r="AL33" s="1"/>
      <c r="AM33" s="1">
        <v>75200</v>
      </c>
      <c r="AN33" s="9">
        <v>118716.96551724138</v>
      </c>
      <c r="AO33" s="1"/>
      <c r="AP33" s="1"/>
      <c r="AQ33" s="1">
        <v>104000</v>
      </c>
      <c r="AR33" s="1">
        <v>88478.5</v>
      </c>
      <c r="AS33" s="1"/>
      <c r="AT33" s="1"/>
      <c r="AU33" s="1"/>
      <c r="AV33" s="1">
        <v>92120.2</v>
      </c>
      <c r="AW33" s="1">
        <v>103892.85714285714</v>
      </c>
      <c r="AX33" s="1">
        <v>100990.54545454546</v>
      </c>
      <c r="AY33" s="1">
        <v>100425</v>
      </c>
      <c r="AZ33" s="1">
        <v>82250</v>
      </c>
      <c r="BA33" s="1">
        <v>98700</v>
      </c>
      <c r="BB33" s="1"/>
      <c r="BC33" s="1">
        <v>89300</v>
      </c>
      <c r="BD33" s="1">
        <v>109300</v>
      </c>
      <c r="BE33" s="1">
        <v>98273</v>
      </c>
      <c r="BF33" s="1">
        <v>121861.375</v>
      </c>
      <c r="BG33" s="9">
        <v>106246.17142857143</v>
      </c>
      <c r="BH33" s="1"/>
      <c r="BI33" s="1"/>
      <c r="BJ33" s="1">
        <v>120409</v>
      </c>
      <c r="BK33" s="1">
        <v>95566.666666666672</v>
      </c>
      <c r="BL33" s="1"/>
      <c r="BM33" s="1">
        <v>98700</v>
      </c>
      <c r="BN33" s="1"/>
      <c r="BO33" s="1"/>
      <c r="BP33" s="1"/>
      <c r="BQ33" s="1">
        <v>118100</v>
      </c>
      <c r="BR33" s="1">
        <v>121500</v>
      </c>
      <c r="BS33" s="1">
        <v>70500</v>
      </c>
      <c r="BT33" s="1">
        <v>105760</v>
      </c>
      <c r="BU33" s="1"/>
      <c r="BV33" s="1">
        <v>82838.5</v>
      </c>
      <c r="BW33" s="1">
        <v>85454.5</v>
      </c>
      <c r="BX33" s="1"/>
      <c r="BY33" s="1"/>
      <c r="BZ33" s="9">
        <v>93409.524999999994</v>
      </c>
      <c r="CA33" s="1"/>
      <c r="CB33" s="1"/>
      <c r="CC33" s="1">
        <v>94000</v>
      </c>
      <c r="CD33" s="1">
        <v>104600</v>
      </c>
      <c r="CE33" s="1"/>
      <c r="CF33" s="1">
        <v>94000</v>
      </c>
      <c r="CG33" s="1">
        <v>100327</v>
      </c>
      <c r="CH33" s="1">
        <v>70500</v>
      </c>
      <c r="CI33" s="1">
        <v>99900</v>
      </c>
      <c r="CJ33" s="1">
        <v>87877.5</v>
      </c>
      <c r="CK33" s="1">
        <v>92223.7</v>
      </c>
      <c r="CL33" s="1">
        <v>99500</v>
      </c>
      <c r="CM33" s="1">
        <v>117766.66666666667</v>
      </c>
      <c r="CN33" s="1">
        <v>160000</v>
      </c>
      <c r="CO33" s="1">
        <v>72355</v>
      </c>
      <c r="CP33" s="1"/>
      <c r="CQ33" s="1"/>
      <c r="CR33" s="1"/>
      <c r="CS33" s="9">
        <v>97992.629629629635</v>
      </c>
      <c r="CT33" s="1"/>
      <c r="CU33" s="1"/>
      <c r="CV33" s="1">
        <v>118700</v>
      </c>
      <c r="CW33" s="1"/>
      <c r="CX33" s="1">
        <v>106582</v>
      </c>
      <c r="CY33" s="1">
        <v>75200</v>
      </c>
      <c r="CZ33" s="1">
        <v>97525</v>
      </c>
      <c r="DA33" s="1">
        <v>79472.666666666672</v>
      </c>
      <c r="DB33" s="1">
        <v>94000</v>
      </c>
      <c r="DC33" s="1">
        <v>93400</v>
      </c>
      <c r="DD33" s="1">
        <v>91880</v>
      </c>
      <c r="DE33" s="1">
        <v>155100</v>
      </c>
      <c r="DF33" s="1">
        <v>85527.5</v>
      </c>
      <c r="DG33" s="1"/>
      <c r="DH33" s="1">
        <v>89713.666666666672</v>
      </c>
      <c r="DI33" s="1"/>
      <c r="DJ33" s="1">
        <v>87255</v>
      </c>
      <c r="DK33" s="1">
        <v>84600</v>
      </c>
      <c r="DL33" s="9">
        <v>97280.387096774197</v>
      </c>
      <c r="DM33" s="1"/>
      <c r="DN33" s="1"/>
      <c r="DO33" s="1">
        <v>116340.2</v>
      </c>
      <c r="DP33" s="1">
        <v>89950</v>
      </c>
      <c r="DQ33" s="1">
        <v>210856.66666666666</v>
      </c>
      <c r="DR33" s="1"/>
      <c r="DS33" s="1"/>
      <c r="DT33" s="1">
        <v>75200</v>
      </c>
      <c r="DU33" s="1">
        <v>105750</v>
      </c>
      <c r="DV33" s="1">
        <v>90318.333333333328</v>
      </c>
      <c r="DW33" s="1">
        <v>70500</v>
      </c>
      <c r="DX33" s="1">
        <v>86316.666666666672</v>
      </c>
      <c r="DY33" s="1">
        <v>100566.66666666667</v>
      </c>
      <c r="DZ33" s="1"/>
      <c r="EA33" s="1">
        <v>98700</v>
      </c>
      <c r="EB33" s="1"/>
      <c r="EC33" s="1"/>
      <c r="ED33" s="1">
        <v>104600</v>
      </c>
      <c r="EE33" s="9">
        <v>130512.36734693877</v>
      </c>
      <c r="EF33" s="1"/>
      <c r="EG33" s="1"/>
      <c r="EH33" s="1"/>
      <c r="EI33" s="1">
        <v>106950</v>
      </c>
      <c r="EJ33" s="1">
        <v>84600</v>
      </c>
      <c r="EK33" s="1"/>
      <c r="EL33" s="1">
        <v>84600</v>
      </c>
      <c r="EM33" s="1">
        <v>113400</v>
      </c>
      <c r="EN33" s="1">
        <v>89900</v>
      </c>
      <c r="EO33" s="1">
        <v>89450</v>
      </c>
      <c r="EP33" s="1">
        <v>76909.5</v>
      </c>
      <c r="EQ33" s="1">
        <v>117500</v>
      </c>
      <c r="ER33" s="1">
        <v>85900</v>
      </c>
      <c r="ES33" s="1"/>
      <c r="ET33" s="1">
        <v>110452.66666666667</v>
      </c>
      <c r="EU33" s="1"/>
      <c r="EV33" s="1"/>
      <c r="EW33" s="1"/>
      <c r="EX33" s="9">
        <v>97353.148148148146</v>
      </c>
      <c r="EY33" s="1"/>
      <c r="EZ33" s="1"/>
      <c r="FA33" s="1">
        <v>250000</v>
      </c>
      <c r="FB33" s="1">
        <v>84908.555555555562</v>
      </c>
      <c r="FC33" s="1">
        <v>83280.833333333328</v>
      </c>
      <c r="FD33" s="1"/>
      <c r="FE33" s="1">
        <v>92184</v>
      </c>
      <c r="FF33" s="1">
        <v>96136.5</v>
      </c>
      <c r="FG33" s="1">
        <v>104938.76923076923</v>
      </c>
      <c r="FH33" s="1">
        <v>100003.33333333333</v>
      </c>
      <c r="FI33" s="1">
        <v>86950</v>
      </c>
      <c r="FJ33" s="1"/>
      <c r="FK33" s="1">
        <v>98125</v>
      </c>
      <c r="FL33" s="1"/>
      <c r="FM33" s="1"/>
      <c r="FN33" s="1">
        <v>108125</v>
      </c>
      <c r="FO33" s="1"/>
      <c r="FP33" s="1"/>
      <c r="FQ33" s="9">
        <v>98208.5</v>
      </c>
      <c r="FR33" s="1"/>
      <c r="FS33" s="1"/>
      <c r="FT33" s="1">
        <v>101650</v>
      </c>
      <c r="FU33" s="1">
        <v>82984.40625</v>
      </c>
      <c r="FV33" s="1">
        <v>92341.176470588238</v>
      </c>
      <c r="FW33" s="1"/>
      <c r="FX33" s="1"/>
      <c r="FY33" s="1"/>
      <c r="FZ33" s="1"/>
      <c r="GA33" s="1"/>
      <c r="GB33" s="1">
        <v>99127.333333333328</v>
      </c>
      <c r="GC33" s="1">
        <v>77550</v>
      </c>
      <c r="GD33" s="1">
        <v>75200</v>
      </c>
      <c r="GE33" s="1"/>
      <c r="GF33" s="1">
        <v>164365.71428571429</v>
      </c>
      <c r="GG33" s="1"/>
      <c r="GH33" s="1"/>
      <c r="GI33" s="1"/>
      <c r="GJ33" s="9">
        <v>94877.92424242424</v>
      </c>
      <c r="GK33" s="1"/>
      <c r="GL33" s="1"/>
      <c r="GM33" s="1">
        <v>108100</v>
      </c>
      <c r="GN33" s="1">
        <v>132200</v>
      </c>
      <c r="GO33" s="1">
        <v>81100</v>
      </c>
      <c r="GP33" s="1"/>
      <c r="GQ33" s="1">
        <v>98273</v>
      </c>
      <c r="GR33" s="1"/>
      <c r="GS33" s="1">
        <v>79900</v>
      </c>
      <c r="GT33" s="1">
        <v>105569</v>
      </c>
      <c r="GU33" s="1">
        <v>99660</v>
      </c>
      <c r="GV33" s="1">
        <v>126900</v>
      </c>
      <c r="GW33" s="1">
        <v>83033.333333333328</v>
      </c>
      <c r="GX33" s="1"/>
      <c r="GY33" s="1">
        <v>80500</v>
      </c>
      <c r="GZ33" s="1">
        <v>70500</v>
      </c>
      <c r="HA33" s="1"/>
      <c r="HB33" s="1">
        <v>121871</v>
      </c>
      <c r="HC33" s="9">
        <v>101074.22857142857</v>
      </c>
      <c r="HD33" s="1"/>
      <c r="HE33" s="1"/>
      <c r="HF33" s="1"/>
      <c r="HG33" s="1">
        <v>89300</v>
      </c>
      <c r="HH33" s="1">
        <v>75200</v>
      </c>
      <c r="HI33" s="1">
        <v>84600</v>
      </c>
      <c r="HJ33" s="1">
        <v>102125</v>
      </c>
      <c r="HK33" s="1"/>
      <c r="HL33" s="1">
        <v>117500</v>
      </c>
      <c r="HM33" s="1">
        <v>90642.857142857145</v>
      </c>
      <c r="HN33" s="1"/>
      <c r="HO33" s="1"/>
      <c r="HP33" s="1">
        <v>103400</v>
      </c>
      <c r="HQ33" s="1"/>
      <c r="HR33" s="1">
        <v>122200</v>
      </c>
      <c r="HS33" s="1">
        <v>79900</v>
      </c>
      <c r="HT33" s="1"/>
      <c r="HU33" s="1"/>
      <c r="HV33" s="9">
        <v>98487.5</v>
      </c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</row>
    <row r="34" spans="1:249" hidden="1" x14ac:dyDescent="0.4">
      <c r="A34" t="s">
        <v>43</v>
      </c>
      <c r="B34" t="s">
        <v>28</v>
      </c>
      <c r="C34" s="1"/>
      <c r="D34" s="1"/>
      <c r="E34" s="1">
        <v>40500</v>
      </c>
      <c r="F34" s="1">
        <v>41924.25</v>
      </c>
      <c r="G34" s="1">
        <v>23750</v>
      </c>
      <c r="H34" s="1">
        <v>34884.222222222219</v>
      </c>
      <c r="I34" s="1">
        <v>39534.923076923078</v>
      </c>
      <c r="J34" s="1">
        <v>32177.777777777777</v>
      </c>
      <c r="K34" s="1">
        <v>36418.227272727272</v>
      </c>
      <c r="L34" s="1">
        <v>26304.119047619046</v>
      </c>
      <c r="M34" s="1">
        <v>27413.666666666668</v>
      </c>
      <c r="N34" s="1">
        <v>23235.294117647059</v>
      </c>
      <c r="O34" s="1">
        <v>32777.777777777781</v>
      </c>
      <c r="P34" s="1">
        <v>87675</v>
      </c>
      <c r="Q34" s="1">
        <v>28237.5</v>
      </c>
      <c r="R34" s="1">
        <v>37113.75</v>
      </c>
      <c r="S34" s="1">
        <v>30969.666666666668</v>
      </c>
      <c r="T34" s="1">
        <v>36363.800000000003</v>
      </c>
      <c r="U34" s="9">
        <v>33018.811881188121</v>
      </c>
      <c r="V34" s="1"/>
      <c r="W34" s="1"/>
      <c r="X34" s="1">
        <v>17208.695652173912</v>
      </c>
      <c r="Y34" s="1">
        <v>30750</v>
      </c>
      <c r="Z34" s="1">
        <v>24600</v>
      </c>
      <c r="AA34" s="1">
        <v>43500</v>
      </c>
      <c r="AB34" s="1">
        <v>28500</v>
      </c>
      <c r="AC34" s="1">
        <v>33104</v>
      </c>
      <c r="AD34" s="1">
        <v>85636.333333333328</v>
      </c>
      <c r="AE34" s="1">
        <v>30163.8</v>
      </c>
      <c r="AF34" s="1">
        <v>39000</v>
      </c>
      <c r="AG34" s="1">
        <v>54868.965517241377</v>
      </c>
      <c r="AH34" s="1">
        <v>33708.779661016946</v>
      </c>
      <c r="AI34" s="1">
        <v>30000</v>
      </c>
      <c r="AJ34" s="1">
        <v>21421.428571428572</v>
      </c>
      <c r="AK34" s="1">
        <v>22841</v>
      </c>
      <c r="AL34" s="1">
        <v>39818.5</v>
      </c>
      <c r="AM34" s="1">
        <v>21000</v>
      </c>
      <c r="AN34" s="9">
        <v>34203.551724137928</v>
      </c>
      <c r="AO34" s="1"/>
      <c r="AP34" s="1"/>
      <c r="AQ34" s="1">
        <v>36009.090909090912</v>
      </c>
      <c r="AR34" s="1">
        <v>23297.217391304348</v>
      </c>
      <c r="AS34" s="1">
        <v>45489.75</v>
      </c>
      <c r="AT34" s="1">
        <v>30750</v>
      </c>
      <c r="AU34" s="1">
        <v>117596.5625</v>
      </c>
      <c r="AV34" s="1">
        <v>29802.205882352941</v>
      </c>
      <c r="AW34" s="1">
        <v>37820.224999999999</v>
      </c>
      <c r="AX34" s="1">
        <v>38673.684210526313</v>
      </c>
      <c r="AY34" s="1">
        <v>29484.833333333332</v>
      </c>
      <c r="AZ34" s="1">
        <v>33666.666666666664</v>
      </c>
      <c r="BA34" s="1">
        <v>53459.738095238092</v>
      </c>
      <c r="BB34" s="1">
        <v>30600</v>
      </c>
      <c r="BC34" s="1">
        <v>30375</v>
      </c>
      <c r="BD34" s="1">
        <v>30381.666666666668</v>
      </c>
      <c r="BE34" s="1">
        <v>25402.375</v>
      </c>
      <c r="BF34" s="1">
        <v>25571.428571428572</v>
      </c>
      <c r="BG34" s="9">
        <v>41791.826254826257</v>
      </c>
      <c r="BH34" s="1"/>
      <c r="BI34" s="1"/>
      <c r="BJ34" s="1">
        <v>43000</v>
      </c>
      <c r="BK34" s="1">
        <v>21809.65625</v>
      </c>
      <c r="BL34" s="1">
        <v>28314.85185185185</v>
      </c>
      <c r="BM34" s="1">
        <v>33000</v>
      </c>
      <c r="BN34" s="1">
        <v>26072.799999999999</v>
      </c>
      <c r="BO34" s="1">
        <v>27750</v>
      </c>
      <c r="BP34" s="1">
        <v>44436.333333333336</v>
      </c>
      <c r="BQ34" s="1">
        <v>19121.102564102563</v>
      </c>
      <c r="BR34" s="1">
        <v>31668.857142857141</v>
      </c>
      <c r="BS34" s="1">
        <v>39000</v>
      </c>
      <c r="BT34" s="1">
        <v>30413.043478260868</v>
      </c>
      <c r="BU34" s="1">
        <v>40772.75</v>
      </c>
      <c r="BV34" s="1">
        <v>83501.703703703708</v>
      </c>
      <c r="BW34" s="1">
        <v>19672.3</v>
      </c>
      <c r="BX34" s="1"/>
      <c r="BY34" s="1">
        <v>20290.909090909092</v>
      </c>
      <c r="BZ34" s="9">
        <v>31738.94347826087</v>
      </c>
      <c r="CA34" s="1"/>
      <c r="CB34" s="1"/>
      <c r="CC34" s="1">
        <v>27333.333333333332</v>
      </c>
      <c r="CD34" s="1">
        <v>22269.23076923077</v>
      </c>
      <c r="CE34" s="1">
        <v>27748.121951219513</v>
      </c>
      <c r="CF34" s="1">
        <v>30000</v>
      </c>
      <c r="CG34" s="1"/>
      <c r="CH34" s="1">
        <v>11292.5</v>
      </c>
      <c r="CI34" s="1">
        <v>24545</v>
      </c>
      <c r="CJ34" s="1">
        <v>37712.166666666664</v>
      </c>
      <c r="CK34" s="1">
        <v>23424.333333333332</v>
      </c>
      <c r="CL34" s="1">
        <v>49500</v>
      </c>
      <c r="CM34" s="1">
        <v>25716.417910447763</v>
      </c>
      <c r="CN34" s="1">
        <v>27273</v>
      </c>
      <c r="CO34" s="1">
        <v>22400</v>
      </c>
      <c r="CP34" s="1">
        <v>26570</v>
      </c>
      <c r="CQ34" s="1">
        <v>27649.428571428572</v>
      </c>
      <c r="CR34" s="1">
        <v>18000</v>
      </c>
      <c r="CS34" s="9">
        <v>24031.395161290322</v>
      </c>
      <c r="CT34" s="1"/>
      <c r="CU34" s="1"/>
      <c r="CV34" s="1">
        <v>35000</v>
      </c>
      <c r="CW34" s="1">
        <v>42365.916666666664</v>
      </c>
      <c r="CX34" s="1">
        <v>40115.625</v>
      </c>
      <c r="CY34" s="1">
        <v>36000</v>
      </c>
      <c r="CZ34" s="1">
        <v>39638.23529411765</v>
      </c>
      <c r="DA34" s="1">
        <v>23423.076923076922</v>
      </c>
      <c r="DB34" s="1">
        <v>33045.5</v>
      </c>
      <c r="DC34" s="1">
        <v>38516.666666666664</v>
      </c>
      <c r="DD34" s="1">
        <v>57004.166666666664</v>
      </c>
      <c r="DE34" s="1">
        <v>42707.317073170729</v>
      </c>
      <c r="DF34" s="1">
        <v>35657.028571428571</v>
      </c>
      <c r="DG34" s="1">
        <v>27784.125</v>
      </c>
      <c r="DH34" s="1">
        <v>43905.357142857145</v>
      </c>
      <c r="DI34" s="1">
        <v>57027.272727272728</v>
      </c>
      <c r="DJ34" s="1">
        <v>38866</v>
      </c>
      <c r="DK34" s="1">
        <v>31250</v>
      </c>
      <c r="DL34" s="9">
        <v>41024.868421052633</v>
      </c>
      <c r="DM34" s="1"/>
      <c r="DN34" s="1"/>
      <c r="DO34" s="1">
        <v>28454.545454545456</v>
      </c>
      <c r="DP34" s="1">
        <v>19239.68181818182</v>
      </c>
      <c r="DQ34" s="1">
        <v>33944.5</v>
      </c>
      <c r="DR34" s="1"/>
      <c r="DS34" s="1">
        <v>24537.090909090908</v>
      </c>
      <c r="DT34" s="1">
        <v>52333.333333333336</v>
      </c>
      <c r="DU34" s="1">
        <v>51933.333333333336</v>
      </c>
      <c r="DV34" s="1">
        <v>35806.779661016946</v>
      </c>
      <c r="DW34" s="1">
        <v>27293.033333333333</v>
      </c>
      <c r="DX34" s="1">
        <v>33222.222222222219</v>
      </c>
      <c r="DY34" s="1">
        <v>31072.799999999999</v>
      </c>
      <c r="DZ34" s="1">
        <v>20000</v>
      </c>
      <c r="EA34" s="1">
        <v>31055.588235294119</v>
      </c>
      <c r="EB34" s="1">
        <v>35763.199999999997</v>
      </c>
      <c r="EC34" s="1">
        <v>27273</v>
      </c>
      <c r="ED34" s="1">
        <v>24200</v>
      </c>
      <c r="EE34" s="9">
        <v>32841.040441176468</v>
      </c>
      <c r="EF34" s="1"/>
      <c r="EG34" s="1"/>
      <c r="EH34" s="1">
        <v>45250</v>
      </c>
      <c r="EI34" s="1">
        <v>35022.75</v>
      </c>
      <c r="EJ34" s="1">
        <v>27800</v>
      </c>
      <c r="EK34" s="1"/>
      <c r="EL34" s="1">
        <v>19966.666666666668</v>
      </c>
      <c r="EM34" s="1">
        <v>21272.689655172413</v>
      </c>
      <c r="EN34" s="1">
        <v>39500</v>
      </c>
      <c r="EO34" s="1">
        <v>37500</v>
      </c>
      <c r="EP34" s="1">
        <v>25241.344827586207</v>
      </c>
      <c r="EQ34" s="1">
        <v>34500</v>
      </c>
      <c r="ER34" s="1">
        <v>33101.473684210527</v>
      </c>
      <c r="ES34" s="1">
        <v>20000</v>
      </c>
      <c r="ET34" s="1">
        <v>29045.5</v>
      </c>
      <c r="EU34" s="1">
        <v>30773</v>
      </c>
      <c r="EV34" s="1"/>
      <c r="EW34" s="1">
        <v>28128.571428571428</v>
      </c>
      <c r="EX34" s="9">
        <v>27129.288659793816</v>
      </c>
      <c r="EY34" s="1"/>
      <c r="EZ34" s="1"/>
      <c r="FA34" s="1">
        <v>50000</v>
      </c>
      <c r="FB34" s="1">
        <v>25618.18181818182</v>
      </c>
      <c r="FC34" s="1">
        <v>41853.466666666667</v>
      </c>
      <c r="FD34" s="1"/>
      <c r="FE34" s="1">
        <v>24056.833333333332</v>
      </c>
      <c r="FF34" s="1">
        <v>22257.566666666666</v>
      </c>
      <c r="FG34" s="1">
        <v>30666.666666666668</v>
      </c>
      <c r="FH34" s="1">
        <v>24000</v>
      </c>
      <c r="FI34" s="1">
        <v>39166.666666666664</v>
      </c>
      <c r="FJ34" s="1">
        <v>47475</v>
      </c>
      <c r="FK34" s="1">
        <v>53111.111111111109</v>
      </c>
      <c r="FL34" s="1">
        <v>17036.8</v>
      </c>
      <c r="FM34" s="1">
        <v>39000</v>
      </c>
      <c r="FN34" s="1">
        <v>34753.142857142855</v>
      </c>
      <c r="FO34" s="1">
        <v>29000</v>
      </c>
      <c r="FP34" s="1">
        <v>30600</v>
      </c>
      <c r="FQ34" s="9">
        <v>34115.916129032259</v>
      </c>
      <c r="FR34" s="1"/>
      <c r="FS34" s="1"/>
      <c r="FT34" s="1">
        <v>52477.25</v>
      </c>
      <c r="FU34" s="1">
        <v>15785.915492957747</v>
      </c>
      <c r="FV34" s="1">
        <v>41285.714285714283</v>
      </c>
      <c r="FW34" s="1"/>
      <c r="FX34" s="1">
        <v>28545.25</v>
      </c>
      <c r="FY34" s="1">
        <v>16328.653846153846</v>
      </c>
      <c r="FZ34" s="1">
        <v>12600</v>
      </c>
      <c r="GA34" s="1">
        <v>31636.5</v>
      </c>
      <c r="GB34" s="1">
        <v>28842.3125</v>
      </c>
      <c r="GC34" s="1">
        <v>36032.432432432433</v>
      </c>
      <c r="GD34" s="1">
        <v>20142.857142857141</v>
      </c>
      <c r="GE34" s="1">
        <v>16000</v>
      </c>
      <c r="GF34" s="1">
        <v>18400</v>
      </c>
      <c r="GG34" s="1"/>
      <c r="GH34" s="1">
        <v>24091</v>
      </c>
      <c r="GI34" s="1">
        <v>24000</v>
      </c>
      <c r="GJ34" s="9">
        <v>22100.836298932383</v>
      </c>
      <c r="GK34" s="1"/>
      <c r="GL34" s="1"/>
      <c r="GM34" s="1">
        <v>17900</v>
      </c>
      <c r="GN34" s="1">
        <v>14270.945454545454</v>
      </c>
      <c r="GO34" s="1">
        <v>15185.714285714286</v>
      </c>
      <c r="GP34" s="1"/>
      <c r="GQ34" s="1">
        <v>20913.947368421053</v>
      </c>
      <c r="GR34" s="1">
        <v>27273</v>
      </c>
      <c r="GS34" s="1">
        <v>47400</v>
      </c>
      <c r="GT34" s="1"/>
      <c r="GU34" s="1">
        <v>29250</v>
      </c>
      <c r="GV34" s="1">
        <v>23277.777777777777</v>
      </c>
      <c r="GW34" s="1">
        <v>25833.494736842105</v>
      </c>
      <c r="GX34" s="1">
        <v>27000</v>
      </c>
      <c r="GY34" s="1">
        <v>22795.454545454544</v>
      </c>
      <c r="GZ34" s="1">
        <v>13320</v>
      </c>
      <c r="HA34" s="1">
        <v>30000</v>
      </c>
      <c r="HB34" s="1">
        <v>47000</v>
      </c>
      <c r="HC34" s="9">
        <v>21167.786377708977</v>
      </c>
      <c r="HD34" s="1"/>
      <c r="HE34" s="1"/>
      <c r="HF34" s="1">
        <v>26181.75</v>
      </c>
      <c r="HG34" s="1">
        <v>19640.804878048781</v>
      </c>
      <c r="HH34" s="1">
        <v>24407.4375</v>
      </c>
      <c r="HI34" s="1">
        <v>21000</v>
      </c>
      <c r="HJ34" s="1">
        <v>31944.444444444445</v>
      </c>
      <c r="HK34" s="1">
        <v>33000</v>
      </c>
      <c r="HL34" s="1">
        <v>16599.227272727272</v>
      </c>
      <c r="HM34" s="1">
        <v>31546</v>
      </c>
      <c r="HN34" s="1">
        <v>45178.571428571428</v>
      </c>
      <c r="HO34" s="1">
        <v>31000</v>
      </c>
      <c r="HP34" s="1">
        <v>47142.857142857145</v>
      </c>
      <c r="HQ34" s="1">
        <v>109091</v>
      </c>
      <c r="HR34" s="1">
        <v>32601.9</v>
      </c>
      <c r="HS34" s="1">
        <v>24562.166666666668</v>
      </c>
      <c r="HT34" s="1"/>
      <c r="HU34" s="1">
        <v>37333.333333333336</v>
      </c>
      <c r="HV34" s="9">
        <v>29768.816216216215</v>
      </c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</row>
    <row r="35" spans="1:249" x14ac:dyDescent="0.4">
      <c r="A35" t="s">
        <v>43</v>
      </c>
      <c r="B35" t="s">
        <v>13</v>
      </c>
      <c r="C35" s="1"/>
      <c r="D35" s="1"/>
      <c r="E35" s="1">
        <v>248000</v>
      </c>
      <c r="F35" s="1">
        <v>287954.54545454547</v>
      </c>
      <c r="G35" s="1">
        <v>194000</v>
      </c>
      <c r="H35" s="1">
        <v>178333.33333333334</v>
      </c>
      <c r="I35" s="1">
        <v>180000</v>
      </c>
      <c r="J35" s="1">
        <v>174509.80392156861</v>
      </c>
      <c r="K35" s="1">
        <v>556393.44262295077</v>
      </c>
      <c r="L35" s="1">
        <v>170000</v>
      </c>
      <c r="M35" s="1">
        <v>225000</v>
      </c>
      <c r="N35" s="1"/>
      <c r="O35" s="1"/>
      <c r="P35" s="1">
        <v>142500</v>
      </c>
      <c r="Q35" s="1">
        <v>159615.38461538462</v>
      </c>
      <c r="R35" s="1"/>
      <c r="S35" s="1"/>
      <c r="T35" s="1"/>
      <c r="U35" s="9">
        <v>295833.33333333331</v>
      </c>
      <c r="V35" s="1"/>
      <c r="W35" s="1"/>
      <c r="X35" s="1">
        <v>245000</v>
      </c>
      <c r="Y35" s="1">
        <v>298200</v>
      </c>
      <c r="Z35" s="1">
        <v>213333.33333333334</v>
      </c>
      <c r="AA35" s="1">
        <v>182500</v>
      </c>
      <c r="AB35" s="1">
        <v>180000</v>
      </c>
      <c r="AC35" s="1">
        <v>270526.31578947371</v>
      </c>
      <c r="AD35" s="1">
        <v>412000</v>
      </c>
      <c r="AE35" s="1"/>
      <c r="AF35" s="1">
        <v>197500</v>
      </c>
      <c r="AG35" s="1"/>
      <c r="AH35" s="1">
        <v>165000</v>
      </c>
      <c r="AI35" s="1">
        <v>173333.33333333334</v>
      </c>
      <c r="AJ35" s="1"/>
      <c r="AK35" s="1"/>
      <c r="AL35" s="1"/>
      <c r="AM35" s="1"/>
      <c r="AN35" s="9">
        <v>268030.76923076925</v>
      </c>
      <c r="AO35" s="1"/>
      <c r="AP35" s="1"/>
      <c r="AQ35" s="1">
        <v>217500</v>
      </c>
      <c r="AR35" s="1">
        <v>197250</v>
      </c>
      <c r="AS35" s="1">
        <v>266666.66666666669</v>
      </c>
      <c r="AT35" s="1">
        <v>178333.33333333334</v>
      </c>
      <c r="AU35" s="1">
        <v>150000</v>
      </c>
      <c r="AV35" s="1">
        <v>150000</v>
      </c>
      <c r="AW35" s="1">
        <v>294193.54838709679</v>
      </c>
      <c r="AX35" s="1">
        <v>176666.66666666666</v>
      </c>
      <c r="AY35" s="1">
        <v>144027.77777777778</v>
      </c>
      <c r="AZ35" s="1"/>
      <c r="BA35" s="1"/>
      <c r="BB35" s="1">
        <v>371428.14285714284</v>
      </c>
      <c r="BC35" s="1">
        <v>399583.33333333331</v>
      </c>
      <c r="BD35" s="1">
        <v>252500</v>
      </c>
      <c r="BE35" s="1"/>
      <c r="BF35" s="1"/>
      <c r="BG35" s="9">
        <v>257744.63829787233</v>
      </c>
      <c r="BH35" s="1"/>
      <c r="BI35" s="1"/>
      <c r="BJ35" s="1">
        <v>393750</v>
      </c>
      <c r="BK35" s="1">
        <v>360222.22222222225</v>
      </c>
      <c r="BL35" s="1"/>
      <c r="BM35" s="1">
        <v>234117.64705882352</v>
      </c>
      <c r="BN35" s="1"/>
      <c r="BO35" s="1">
        <v>195000</v>
      </c>
      <c r="BP35" s="1">
        <v>349807.69230769231</v>
      </c>
      <c r="BQ35" s="1"/>
      <c r="BR35" s="1">
        <v>195000</v>
      </c>
      <c r="BS35" s="1">
        <v>200000</v>
      </c>
      <c r="BT35" s="1">
        <v>200000</v>
      </c>
      <c r="BU35" s="1"/>
      <c r="BV35" s="1">
        <v>200000</v>
      </c>
      <c r="BW35" s="1"/>
      <c r="BX35" s="1"/>
      <c r="BY35" s="1"/>
      <c r="BZ35" s="9">
        <v>298614.03508771933</v>
      </c>
      <c r="CA35" s="1"/>
      <c r="CB35" s="1"/>
      <c r="CC35" s="1">
        <v>211250</v>
      </c>
      <c r="CD35" s="1">
        <v>222573.33333333334</v>
      </c>
      <c r="CE35" s="1">
        <v>210000</v>
      </c>
      <c r="CF35" s="1">
        <v>216666.66666666666</v>
      </c>
      <c r="CG35" s="1"/>
      <c r="CH35" s="1">
        <v>156666.66666666666</v>
      </c>
      <c r="CI35" s="1">
        <v>333125</v>
      </c>
      <c r="CJ35" s="1">
        <v>364090.90909090912</v>
      </c>
      <c r="CK35" s="1">
        <v>200000</v>
      </c>
      <c r="CL35" s="1"/>
      <c r="CM35" s="1"/>
      <c r="CN35" s="1"/>
      <c r="CO35" s="1"/>
      <c r="CP35" s="1">
        <v>172727</v>
      </c>
      <c r="CQ35" s="1"/>
      <c r="CR35" s="1"/>
      <c r="CS35" s="9">
        <v>263052.22549019608</v>
      </c>
      <c r="CT35" s="1"/>
      <c r="CU35" s="1"/>
      <c r="CV35" s="1">
        <v>218000</v>
      </c>
      <c r="CW35" s="1">
        <v>198000</v>
      </c>
      <c r="CX35" s="1"/>
      <c r="CY35" s="1">
        <v>226000</v>
      </c>
      <c r="CZ35" s="1">
        <v>180000</v>
      </c>
      <c r="DA35" s="1">
        <v>221538.46153846153</v>
      </c>
      <c r="DB35" s="1"/>
      <c r="DC35" s="1">
        <v>345925.9259259259</v>
      </c>
      <c r="DD35" s="1"/>
      <c r="DE35" s="1"/>
      <c r="DF35" s="1"/>
      <c r="DG35" s="1">
        <v>170000</v>
      </c>
      <c r="DH35" s="1"/>
      <c r="DI35" s="1"/>
      <c r="DJ35" s="1"/>
      <c r="DK35" s="1">
        <v>250000</v>
      </c>
      <c r="DL35" s="9">
        <v>262956.52173913043</v>
      </c>
      <c r="DM35" s="1"/>
      <c r="DN35" s="1"/>
      <c r="DO35" s="1">
        <v>231428.57142857142</v>
      </c>
      <c r="DP35" s="1">
        <v>280454.54545454547</v>
      </c>
      <c r="DQ35" s="1">
        <v>311764.70588235295</v>
      </c>
      <c r="DR35" s="1">
        <v>236000</v>
      </c>
      <c r="DS35" s="1"/>
      <c r="DT35" s="1">
        <v>190000</v>
      </c>
      <c r="DU35" s="1">
        <v>165000</v>
      </c>
      <c r="DV35" s="1">
        <v>240000</v>
      </c>
      <c r="DW35" s="1">
        <v>183000</v>
      </c>
      <c r="DX35" s="1">
        <v>438888.88888888888</v>
      </c>
      <c r="DY35" s="1"/>
      <c r="DZ35" s="1">
        <v>170000</v>
      </c>
      <c r="EA35" s="1">
        <v>200000</v>
      </c>
      <c r="EB35" s="1"/>
      <c r="EC35" s="1"/>
      <c r="ED35" s="1"/>
      <c r="EE35" s="9">
        <v>294418.60465116281</v>
      </c>
      <c r="EF35" s="1"/>
      <c r="EG35" s="1"/>
      <c r="EH35" s="1">
        <v>213333.33333333334</v>
      </c>
      <c r="EI35" s="1">
        <v>388894.73684210528</v>
      </c>
      <c r="EJ35" s="1">
        <v>227500</v>
      </c>
      <c r="EK35" s="1">
        <v>183000</v>
      </c>
      <c r="EL35" s="1">
        <v>152000</v>
      </c>
      <c r="EM35" s="1">
        <v>180000</v>
      </c>
      <c r="EN35" s="1">
        <v>244358.97435897434</v>
      </c>
      <c r="EO35" s="1"/>
      <c r="EP35" s="1">
        <v>205555.55555555556</v>
      </c>
      <c r="EQ35" s="1"/>
      <c r="ER35" s="1"/>
      <c r="ES35" s="1"/>
      <c r="ET35" s="1">
        <v>210000</v>
      </c>
      <c r="EU35" s="1"/>
      <c r="EV35" s="1"/>
      <c r="EW35" s="1">
        <v>230000</v>
      </c>
      <c r="EX35" s="9">
        <v>231385.24590163934</v>
      </c>
      <c r="EY35" s="1"/>
      <c r="EZ35" s="1"/>
      <c r="FA35" s="1">
        <v>207500</v>
      </c>
      <c r="FB35" s="1">
        <v>254909.09090909091</v>
      </c>
      <c r="FC35" s="1"/>
      <c r="FD35" s="1">
        <v>198000</v>
      </c>
      <c r="FE35" s="1">
        <v>250000</v>
      </c>
      <c r="FF35" s="1"/>
      <c r="FG35" s="1">
        <v>365994.3125</v>
      </c>
      <c r="FH35" s="1">
        <v>241000</v>
      </c>
      <c r="FI35" s="1">
        <v>160000</v>
      </c>
      <c r="FJ35" s="1"/>
      <c r="FK35" s="1"/>
      <c r="FL35" s="1"/>
      <c r="FM35" s="1">
        <v>210000</v>
      </c>
      <c r="FN35" s="1"/>
      <c r="FO35" s="1"/>
      <c r="FP35" s="1"/>
      <c r="FQ35" s="9">
        <v>294303.51612903224</v>
      </c>
      <c r="FR35" s="1"/>
      <c r="FS35" s="1"/>
      <c r="FT35" s="1">
        <v>190000</v>
      </c>
      <c r="FU35" s="1">
        <v>192500</v>
      </c>
      <c r="FV35" s="1">
        <v>230000</v>
      </c>
      <c r="FW35" s="1">
        <v>178333.33333333334</v>
      </c>
      <c r="FX35" s="1">
        <v>160000</v>
      </c>
      <c r="FY35" s="1"/>
      <c r="FZ35" s="1">
        <v>319166.66666666669</v>
      </c>
      <c r="GA35" s="1"/>
      <c r="GB35" s="1">
        <v>215000</v>
      </c>
      <c r="GC35" s="1">
        <v>238571.42857142858</v>
      </c>
      <c r="GD35" s="1">
        <v>210000</v>
      </c>
      <c r="GE35" s="1">
        <v>165833.33333333334</v>
      </c>
      <c r="GF35" s="1"/>
      <c r="GG35" s="1">
        <v>190909</v>
      </c>
      <c r="GH35" s="1"/>
      <c r="GI35" s="1"/>
      <c r="GJ35" s="9">
        <v>200254.98780487804</v>
      </c>
      <c r="GK35" s="1"/>
      <c r="GL35" s="1"/>
      <c r="GM35" s="1"/>
      <c r="GN35" s="1">
        <v>214837.5</v>
      </c>
      <c r="GO35" s="1">
        <v>210000</v>
      </c>
      <c r="GP35" s="1"/>
      <c r="GQ35" s="1"/>
      <c r="GR35" s="1"/>
      <c r="GS35" s="1">
        <v>360000</v>
      </c>
      <c r="GT35" s="1"/>
      <c r="GU35" s="1">
        <v>210000</v>
      </c>
      <c r="GV35" s="1">
        <v>150000</v>
      </c>
      <c r="GW35" s="1">
        <v>210000</v>
      </c>
      <c r="GX35" s="1">
        <v>166818</v>
      </c>
      <c r="GY35" s="1"/>
      <c r="GZ35" s="1"/>
      <c r="HA35" s="1"/>
      <c r="HB35" s="1"/>
      <c r="HC35" s="9">
        <v>263623.74193548388</v>
      </c>
      <c r="HD35" s="1"/>
      <c r="HE35" s="1"/>
      <c r="HF35" s="1">
        <v>235000</v>
      </c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>
        <v>170000</v>
      </c>
      <c r="HR35" s="1"/>
      <c r="HS35" s="1"/>
      <c r="HT35" s="1"/>
      <c r="HU35" s="1"/>
      <c r="HV35" s="9">
        <v>213333.33333333334</v>
      </c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</row>
    <row r="36" spans="1:249" s="6" customFormat="1" x14ac:dyDescent="0.4">
      <c r="A36" s="6" t="s">
        <v>43</v>
      </c>
      <c r="B36" s="6" t="s">
        <v>21</v>
      </c>
      <c r="C36" s="7"/>
      <c r="D36" s="7">
        <v>225000</v>
      </c>
      <c r="E36" s="7">
        <v>187577.2</v>
      </c>
      <c r="F36" s="7">
        <v>343972.52747252746</v>
      </c>
      <c r="G36" s="7">
        <v>124545.45454545454</v>
      </c>
      <c r="H36" s="7">
        <v>122857.14285714286</v>
      </c>
      <c r="I36" s="7">
        <v>118000</v>
      </c>
      <c r="J36" s="7">
        <v>120166.66666666701</v>
      </c>
      <c r="K36" s="7">
        <v>136538.46153846153</v>
      </c>
      <c r="L36" s="7">
        <v>135583</v>
      </c>
      <c r="M36" s="7">
        <v>117142.85714285714</v>
      </c>
      <c r="N36" s="7">
        <v>118514</v>
      </c>
      <c r="O36" s="7">
        <v>121904.76190476191</v>
      </c>
      <c r="P36" s="7">
        <v>108181.75</v>
      </c>
      <c r="Q36" s="7">
        <v>252857.14285714287</v>
      </c>
      <c r="R36" s="7">
        <v>116842.10526315789</v>
      </c>
      <c r="S36" s="7">
        <v>97532.428571428565</v>
      </c>
      <c r="T36" s="7">
        <v>88333.333333333328</v>
      </c>
      <c r="U36" s="9">
        <v>184412.84433962265</v>
      </c>
      <c r="V36" s="7"/>
      <c r="W36" s="7">
        <v>234000</v>
      </c>
      <c r="X36" s="7">
        <v>308108.10810810811</v>
      </c>
      <c r="Y36" s="7">
        <v>142666.66666666666</v>
      </c>
      <c r="Z36" s="7">
        <v>166153.84615384616</v>
      </c>
      <c r="AA36" s="7">
        <v>94722.222222222219</v>
      </c>
      <c r="AB36" s="7">
        <v>110000</v>
      </c>
      <c r="AC36" s="7">
        <v>293636.36363636365</v>
      </c>
      <c r="AD36" s="7">
        <v>133181.81818181818</v>
      </c>
      <c r="AE36" s="7">
        <v>114854.18867924529</v>
      </c>
      <c r="AF36" s="7">
        <v>121250</v>
      </c>
      <c r="AG36" s="7"/>
      <c r="AH36" s="7">
        <v>114705.88235294117</v>
      </c>
      <c r="AI36" s="7">
        <v>103434.33333333333</v>
      </c>
      <c r="AJ36" s="7"/>
      <c r="AK36" s="7">
        <v>85000</v>
      </c>
      <c r="AL36" s="7">
        <v>156433.61538461538</v>
      </c>
      <c r="AM36" s="7">
        <v>91111.111111111109</v>
      </c>
      <c r="AN36" s="9">
        <v>159800.0664206642</v>
      </c>
      <c r="AO36" s="7"/>
      <c r="AP36" s="7">
        <v>216000</v>
      </c>
      <c r="AQ36" s="7">
        <v>178333.33333333334</v>
      </c>
      <c r="AR36" s="7">
        <v>153448</v>
      </c>
      <c r="AS36" s="7">
        <v>124285.71428571429</v>
      </c>
      <c r="AT36" s="7">
        <v>112857.14285714286</v>
      </c>
      <c r="AU36" s="7">
        <v>105277.77777777778</v>
      </c>
      <c r="AV36" s="7">
        <v>127500</v>
      </c>
      <c r="AW36" s="7">
        <v>130648.14814814815</v>
      </c>
      <c r="AX36" s="7">
        <v>109918.03278688525</v>
      </c>
      <c r="AY36" s="7">
        <v>331212.12121212122</v>
      </c>
      <c r="AZ36" s="7">
        <v>131465</v>
      </c>
      <c r="BA36" s="7">
        <v>90000</v>
      </c>
      <c r="BB36" s="7"/>
      <c r="BC36" s="7">
        <v>117500</v>
      </c>
      <c r="BD36" s="7"/>
      <c r="BE36" s="7">
        <v>89220.71428571429</v>
      </c>
      <c r="BF36" s="7">
        <v>72857.142857142855</v>
      </c>
      <c r="BG36" s="9">
        <v>150354.08614232211</v>
      </c>
      <c r="BH36" s="7"/>
      <c r="BI36" s="7">
        <v>230000</v>
      </c>
      <c r="BJ36" s="7">
        <v>246666.66666666666</v>
      </c>
      <c r="BK36" s="7">
        <v>135000</v>
      </c>
      <c r="BL36" s="7">
        <v>110000</v>
      </c>
      <c r="BM36" s="7">
        <v>102857.14285714286</v>
      </c>
      <c r="BN36" s="7"/>
      <c r="BO36" s="7">
        <v>105000</v>
      </c>
      <c r="BP36" s="7">
        <v>163333.33333333334</v>
      </c>
      <c r="BQ36" s="7">
        <v>91086.956521739135</v>
      </c>
      <c r="BR36" s="7">
        <v>182777.77777777778</v>
      </c>
      <c r="BS36" s="7">
        <v>358550.72463768115</v>
      </c>
      <c r="BT36" s="7">
        <v>115000</v>
      </c>
      <c r="BU36" s="7">
        <v>119230.76923076923</v>
      </c>
      <c r="BV36" s="7">
        <v>111666.66666666667</v>
      </c>
      <c r="BW36" s="7"/>
      <c r="BX36" s="7">
        <v>90909</v>
      </c>
      <c r="BY36" s="7">
        <v>82500</v>
      </c>
      <c r="BZ36" s="9">
        <v>195640.07346938775</v>
      </c>
      <c r="CA36" s="7"/>
      <c r="CB36" s="7">
        <v>180000</v>
      </c>
      <c r="CC36" s="7">
        <v>113571.42857142857</v>
      </c>
      <c r="CD36" s="7">
        <v>155000</v>
      </c>
      <c r="CE36" s="7"/>
      <c r="CF36" s="7">
        <v>145311.11111111112</v>
      </c>
      <c r="CG36" s="7"/>
      <c r="CH36" s="7">
        <v>130000</v>
      </c>
      <c r="CI36" s="7">
        <v>113806.8125</v>
      </c>
      <c r="CJ36" s="7">
        <v>103333.33333333333</v>
      </c>
      <c r="CK36" s="7">
        <v>120000</v>
      </c>
      <c r="CL36" s="7">
        <v>132666.66666666666</v>
      </c>
      <c r="CM36" s="7">
        <v>100000</v>
      </c>
      <c r="CN36" s="7">
        <v>117500</v>
      </c>
      <c r="CO36" s="7">
        <v>106666.66666666667</v>
      </c>
      <c r="CP36" s="7">
        <v>100000</v>
      </c>
      <c r="CQ36" s="7">
        <v>103333.33333333333</v>
      </c>
      <c r="CR36" s="7">
        <v>96666.666666666672</v>
      </c>
      <c r="CS36" s="9">
        <v>124233.43010752689</v>
      </c>
      <c r="CT36" s="7"/>
      <c r="CU36" s="7">
        <v>208333.33333333334</v>
      </c>
      <c r="CV36" s="7">
        <v>152500</v>
      </c>
      <c r="CW36" s="7">
        <v>132000</v>
      </c>
      <c r="CX36" s="7">
        <v>204545.45454545456</v>
      </c>
      <c r="CY36" s="7">
        <v>104827.58620689655</v>
      </c>
      <c r="CZ36" s="7"/>
      <c r="DA36" s="7">
        <v>125000</v>
      </c>
      <c r="DB36" s="7"/>
      <c r="DC36" s="7">
        <v>115762.71186440678</v>
      </c>
      <c r="DD36" s="7">
        <v>117000</v>
      </c>
      <c r="DE36" s="7">
        <v>257335.74468085106</v>
      </c>
      <c r="DF36" s="7">
        <v>348181.81818181818</v>
      </c>
      <c r="DG36" s="7"/>
      <c r="DH36" s="7">
        <v>317019.23076923075</v>
      </c>
      <c r="DI36" s="7">
        <v>90909.090909090912</v>
      </c>
      <c r="DJ36" s="7">
        <v>116136.5</v>
      </c>
      <c r="DK36" s="7">
        <v>76666.666666666672</v>
      </c>
      <c r="DL36" s="9">
        <v>214528.84357541898</v>
      </c>
      <c r="DM36" s="7"/>
      <c r="DN36" s="7">
        <v>232000</v>
      </c>
      <c r="DO36" s="7">
        <v>303461.53846153844</v>
      </c>
      <c r="DP36" s="7">
        <v>142500</v>
      </c>
      <c r="DQ36" s="7">
        <v>170000</v>
      </c>
      <c r="DR36" s="7">
        <v>102142.85714285714</v>
      </c>
      <c r="DS36" s="7"/>
      <c r="DT36" s="7">
        <v>110000</v>
      </c>
      <c r="DU36" s="7">
        <v>143448.27586206896</v>
      </c>
      <c r="DV36" s="7">
        <v>111034.4827586207</v>
      </c>
      <c r="DW36" s="7">
        <v>132500</v>
      </c>
      <c r="DX36" s="7">
        <v>149933.33333333334</v>
      </c>
      <c r="DY36" s="7">
        <v>148333.33333333334</v>
      </c>
      <c r="DZ36" s="7">
        <v>100000</v>
      </c>
      <c r="EA36" s="7">
        <v>120000</v>
      </c>
      <c r="EB36" s="7">
        <v>99372.28571428571</v>
      </c>
      <c r="EC36" s="7">
        <v>86363.5</v>
      </c>
      <c r="ED36" s="7">
        <v>85858.555555555562</v>
      </c>
      <c r="EE36" s="9">
        <v>138989.9156626506</v>
      </c>
      <c r="EF36" s="7"/>
      <c r="EG36" s="7">
        <v>210000</v>
      </c>
      <c r="EH36" s="7">
        <v>147272.72727272726</v>
      </c>
      <c r="EI36" s="7">
        <v>552800</v>
      </c>
      <c r="EJ36" s="7">
        <v>129615.38461538461</v>
      </c>
      <c r="EK36" s="7">
        <v>138928.57142857142</v>
      </c>
      <c r="EL36" s="7">
        <v>100000</v>
      </c>
      <c r="EM36" s="7"/>
      <c r="EN36" s="7">
        <v>180000</v>
      </c>
      <c r="EO36" s="7">
        <v>98333.333333333328</v>
      </c>
      <c r="EP36" s="7">
        <v>114829.5</v>
      </c>
      <c r="EQ36" s="7">
        <v>132290</v>
      </c>
      <c r="ER36" s="7">
        <v>120000</v>
      </c>
      <c r="ES36" s="7">
        <v>135419.57692307694</v>
      </c>
      <c r="ET36" s="7">
        <v>259090.90909090909</v>
      </c>
      <c r="EU36" s="7"/>
      <c r="EV36" s="7">
        <v>100000</v>
      </c>
      <c r="EW36" s="7">
        <v>102788.46153846153</v>
      </c>
      <c r="EX36" s="9">
        <v>183948.90650406503</v>
      </c>
      <c r="EY36" s="7"/>
      <c r="EZ36" s="7">
        <v>220000</v>
      </c>
      <c r="FA36" s="7">
        <v>195000</v>
      </c>
      <c r="FB36" s="7">
        <v>294400</v>
      </c>
      <c r="FC36" s="7">
        <v>134000</v>
      </c>
      <c r="FD36" s="7">
        <v>145000</v>
      </c>
      <c r="FE36" s="7">
        <v>90000</v>
      </c>
      <c r="FF36" s="7">
        <v>100000</v>
      </c>
      <c r="FG36" s="7">
        <v>108102.04081632652</v>
      </c>
      <c r="FH36" s="7">
        <v>161000</v>
      </c>
      <c r="FI36" s="7">
        <v>123421.05263157895</v>
      </c>
      <c r="FJ36" s="7">
        <v>136224</v>
      </c>
      <c r="FK36" s="7">
        <v>149491.5254237288</v>
      </c>
      <c r="FL36" s="7">
        <v>140000</v>
      </c>
      <c r="FM36" s="7">
        <v>379200</v>
      </c>
      <c r="FN36" s="7">
        <v>277222.22222222225</v>
      </c>
      <c r="FO36" s="7">
        <v>104242.33333333333</v>
      </c>
      <c r="FP36" s="7">
        <v>177647.0588235294</v>
      </c>
      <c r="FQ36" s="9">
        <v>172573.93413173652</v>
      </c>
      <c r="FR36" s="7"/>
      <c r="FS36" s="7">
        <v>230000</v>
      </c>
      <c r="FT36" s="7">
        <v>189090.90909090909</v>
      </c>
      <c r="FU36" s="7">
        <v>255885.71428571429</v>
      </c>
      <c r="FV36" s="7">
        <v>108000</v>
      </c>
      <c r="FW36" s="7"/>
      <c r="FX36" s="7">
        <v>100000</v>
      </c>
      <c r="FY36" s="7"/>
      <c r="FZ36" s="7">
        <v>122333.33333333333</v>
      </c>
      <c r="GA36" s="7">
        <v>107922</v>
      </c>
      <c r="GB36" s="7">
        <v>139093.75</v>
      </c>
      <c r="GC36" s="7">
        <v>115000</v>
      </c>
      <c r="GD36" s="7">
        <v>112439.0243902439</v>
      </c>
      <c r="GE36" s="7">
        <v>113636.5</v>
      </c>
      <c r="GF36" s="7">
        <v>108750</v>
      </c>
      <c r="GG36" s="7">
        <v>97500</v>
      </c>
      <c r="GH36" s="7">
        <v>80000</v>
      </c>
      <c r="GI36" s="7">
        <v>105000</v>
      </c>
      <c r="GJ36" s="9">
        <v>133052.60891089108</v>
      </c>
      <c r="GK36" s="7"/>
      <c r="GL36" s="7">
        <v>228333.33333333334</v>
      </c>
      <c r="GM36" s="7">
        <v>185357.14285714287</v>
      </c>
      <c r="GN36" s="7">
        <v>130636.2</v>
      </c>
      <c r="GO36" s="7">
        <v>100000</v>
      </c>
      <c r="GP36" s="7">
        <v>118787.87878787878</v>
      </c>
      <c r="GQ36" s="7">
        <v>110000</v>
      </c>
      <c r="GR36" s="7"/>
      <c r="GS36" s="7">
        <v>123333.33333333333</v>
      </c>
      <c r="GT36" s="7">
        <v>190000</v>
      </c>
      <c r="GU36" s="7">
        <v>118571.42857142857</v>
      </c>
      <c r="GV36" s="7">
        <v>130890</v>
      </c>
      <c r="GW36" s="7">
        <v>147500</v>
      </c>
      <c r="GX36" s="7"/>
      <c r="GY36" s="7"/>
      <c r="GZ36" s="7"/>
      <c r="HA36" s="7">
        <v>95454.5</v>
      </c>
      <c r="HB36" s="7">
        <v>81250</v>
      </c>
      <c r="HC36" s="9">
        <v>144294.49</v>
      </c>
      <c r="HD36" s="7"/>
      <c r="HE36" s="7"/>
      <c r="HF36" s="7">
        <v>140170.375</v>
      </c>
      <c r="HG36" s="7">
        <v>135000</v>
      </c>
      <c r="HH36" s="7">
        <v>125000</v>
      </c>
      <c r="HI36" s="7">
        <v>133484.83333333334</v>
      </c>
      <c r="HJ36" s="7"/>
      <c r="HK36" s="7">
        <v>130000</v>
      </c>
      <c r="HL36" s="7">
        <v>106944.44444444444</v>
      </c>
      <c r="HM36" s="7">
        <v>80000</v>
      </c>
      <c r="HN36" s="7">
        <v>100000</v>
      </c>
      <c r="HO36" s="7">
        <v>110000</v>
      </c>
      <c r="HP36" s="7">
        <v>110000</v>
      </c>
      <c r="HQ36" s="7"/>
      <c r="HR36" s="7"/>
      <c r="HS36" s="7">
        <v>100000</v>
      </c>
      <c r="HT36" s="7"/>
      <c r="HU36" s="7">
        <v>98484.833333333328</v>
      </c>
      <c r="HV36" s="9">
        <v>116289.40816326531</v>
      </c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</row>
    <row r="37" spans="1:249" x14ac:dyDescent="0.4">
      <c r="A37" t="s">
        <v>43</v>
      </c>
      <c r="B37" t="s">
        <v>14</v>
      </c>
      <c r="C37" s="1"/>
      <c r="D37" s="1"/>
      <c r="E37" s="1">
        <v>90475</v>
      </c>
      <c r="F37" s="1"/>
      <c r="G37" s="1"/>
      <c r="H37" s="1">
        <v>88125</v>
      </c>
      <c r="I37" s="1">
        <v>82250</v>
      </c>
      <c r="J37" s="1"/>
      <c r="K37" s="1">
        <v>92433.333333333328</v>
      </c>
      <c r="L37" s="1">
        <v>94000</v>
      </c>
      <c r="M37" s="1">
        <v>84600</v>
      </c>
      <c r="N37" s="1"/>
      <c r="O37" s="1">
        <v>72978.399999999994</v>
      </c>
      <c r="P37" s="1">
        <v>65800</v>
      </c>
      <c r="Q37" s="1">
        <v>95880</v>
      </c>
      <c r="R37" s="1">
        <v>70500</v>
      </c>
      <c r="S37" s="1"/>
      <c r="T37" s="1"/>
      <c r="U37" s="9">
        <v>86049.71428571429</v>
      </c>
      <c r="V37" s="1"/>
      <c r="W37" s="1"/>
      <c r="X37" s="1">
        <v>88125</v>
      </c>
      <c r="Y37" s="1">
        <v>86950</v>
      </c>
      <c r="Z37" s="1">
        <v>164500</v>
      </c>
      <c r="AA37" s="1">
        <v>90866.666666666672</v>
      </c>
      <c r="AB37" s="1">
        <v>73850</v>
      </c>
      <c r="AC37" s="1">
        <v>70500</v>
      </c>
      <c r="AD37" s="1">
        <v>137012</v>
      </c>
      <c r="AE37" s="1"/>
      <c r="AF37" s="1"/>
      <c r="AG37" s="1"/>
      <c r="AH37" s="1">
        <v>92825</v>
      </c>
      <c r="AI37" s="1"/>
      <c r="AJ37" s="1"/>
      <c r="AK37" s="1"/>
      <c r="AL37" s="1"/>
      <c r="AM37" s="1">
        <v>238180</v>
      </c>
      <c r="AN37" s="9">
        <v>119978</v>
      </c>
      <c r="AO37" s="1"/>
      <c r="AP37" s="1"/>
      <c r="AQ37" s="1">
        <v>101833.33333333333</v>
      </c>
      <c r="AR37" s="1"/>
      <c r="AS37" s="1">
        <v>84600</v>
      </c>
      <c r="AT37" s="1">
        <v>96183.777777777781</v>
      </c>
      <c r="AU37" s="1">
        <v>72850</v>
      </c>
      <c r="AV37" s="1">
        <v>89300</v>
      </c>
      <c r="AW37" s="1"/>
      <c r="AX37" s="1"/>
      <c r="AY37" s="1">
        <v>84600</v>
      </c>
      <c r="AZ37" s="1">
        <v>91493.333333333328</v>
      </c>
      <c r="BA37" s="1">
        <v>114625</v>
      </c>
      <c r="BB37" s="1"/>
      <c r="BC37" s="1">
        <v>89300</v>
      </c>
      <c r="BD37" s="1"/>
      <c r="BE37" s="1"/>
      <c r="BF37" s="1"/>
      <c r="BG37" s="9">
        <v>94670.137931034478</v>
      </c>
      <c r="BH37" s="1"/>
      <c r="BI37" s="1"/>
      <c r="BJ37" s="1">
        <v>111233.33333333333</v>
      </c>
      <c r="BK37" s="1"/>
      <c r="BL37" s="1"/>
      <c r="BM37" s="1"/>
      <c r="BN37" s="1">
        <v>83257.142857142855</v>
      </c>
      <c r="BO37" s="1"/>
      <c r="BP37" s="1"/>
      <c r="BQ37" s="1"/>
      <c r="BR37" s="1"/>
      <c r="BS37" s="1"/>
      <c r="BT37" s="1">
        <v>98700</v>
      </c>
      <c r="BU37" s="1"/>
      <c r="BV37" s="1">
        <v>84600</v>
      </c>
      <c r="BW37" s="1"/>
      <c r="BX37" s="1"/>
      <c r="BY37" s="1"/>
      <c r="BZ37" s="9">
        <v>92657.142857142855</v>
      </c>
      <c r="CA37" s="1"/>
      <c r="CB37" s="1"/>
      <c r="CC37" s="1">
        <v>104071.42857142857</v>
      </c>
      <c r="CD37" s="1"/>
      <c r="CE37" s="1">
        <v>94000</v>
      </c>
      <c r="CF37" s="1"/>
      <c r="CG37" s="1">
        <v>70500</v>
      </c>
      <c r="CH37" s="1">
        <v>70500</v>
      </c>
      <c r="CI37" s="1">
        <v>108100</v>
      </c>
      <c r="CJ37" s="1"/>
      <c r="CK37" s="1">
        <v>97133.333333333328</v>
      </c>
      <c r="CL37" s="1">
        <v>98700</v>
      </c>
      <c r="CM37" s="1"/>
      <c r="CN37" s="1"/>
      <c r="CO37" s="1"/>
      <c r="CP37" s="1">
        <v>82255</v>
      </c>
      <c r="CQ37" s="1"/>
      <c r="CR37" s="1"/>
      <c r="CS37" s="9">
        <v>97003.055555555562</v>
      </c>
      <c r="CT37" s="1"/>
      <c r="CU37" s="1"/>
      <c r="CV37" s="1">
        <v>118440</v>
      </c>
      <c r="CW37" s="1">
        <v>84600</v>
      </c>
      <c r="CX37" s="1"/>
      <c r="CY37" s="1">
        <v>98700</v>
      </c>
      <c r="CZ37" s="1"/>
      <c r="DA37" s="1"/>
      <c r="DB37" s="1">
        <v>94000</v>
      </c>
      <c r="DC37" s="1">
        <v>108100</v>
      </c>
      <c r="DD37" s="1"/>
      <c r="DE37" s="1">
        <v>94000</v>
      </c>
      <c r="DF37" s="1">
        <v>84813.5</v>
      </c>
      <c r="DG37" s="1"/>
      <c r="DH37" s="1">
        <v>84600</v>
      </c>
      <c r="DI37" s="1"/>
      <c r="DJ37" s="1"/>
      <c r="DK37" s="1"/>
      <c r="DL37" s="9">
        <v>101444.38461538461</v>
      </c>
      <c r="DM37" s="1"/>
      <c r="DN37" s="1"/>
      <c r="DO37" s="1">
        <v>96350</v>
      </c>
      <c r="DP37" s="1"/>
      <c r="DQ37" s="1">
        <v>117500</v>
      </c>
      <c r="DR37" s="1"/>
      <c r="DS37" s="1">
        <v>75200</v>
      </c>
      <c r="DT37" s="1">
        <v>94000</v>
      </c>
      <c r="DU37" s="1">
        <v>82250</v>
      </c>
      <c r="DV37" s="1">
        <v>98700</v>
      </c>
      <c r="DW37" s="1"/>
      <c r="DX37" s="1"/>
      <c r="DY37" s="1"/>
      <c r="DZ37" s="1"/>
      <c r="EA37" s="1"/>
      <c r="EB37" s="1"/>
      <c r="EC37" s="1"/>
      <c r="ED37" s="1">
        <v>84600</v>
      </c>
      <c r="EE37" s="9">
        <v>94427.272727272721</v>
      </c>
      <c r="EF37" s="1"/>
      <c r="EG37" s="1"/>
      <c r="EH37" s="1">
        <v>94000</v>
      </c>
      <c r="EI37" s="1"/>
      <c r="EJ37" s="1">
        <v>103400</v>
      </c>
      <c r="EK37" s="1">
        <v>84600</v>
      </c>
      <c r="EL37" s="1">
        <v>84600</v>
      </c>
      <c r="EM37" s="1"/>
      <c r="EN37" s="1">
        <v>94000</v>
      </c>
      <c r="EO37" s="1"/>
      <c r="EP37" s="1">
        <v>89300</v>
      </c>
      <c r="EQ37" s="1"/>
      <c r="ER37" s="1">
        <v>89300</v>
      </c>
      <c r="ES37" s="1"/>
      <c r="ET37" s="1">
        <v>85073</v>
      </c>
      <c r="EU37" s="1"/>
      <c r="EV37" s="1">
        <v>94000</v>
      </c>
      <c r="EW37" s="1">
        <v>84600</v>
      </c>
      <c r="EX37" s="9">
        <v>90782.538461538468</v>
      </c>
      <c r="EY37" s="1"/>
      <c r="EZ37" s="1"/>
      <c r="FA37" s="1"/>
      <c r="FB37" s="1"/>
      <c r="FC37" s="1">
        <v>103400</v>
      </c>
      <c r="FD37" s="1">
        <v>87733.333333333328</v>
      </c>
      <c r="FE37" s="1">
        <v>89300</v>
      </c>
      <c r="FF37" s="1">
        <v>77688.23529411765</v>
      </c>
      <c r="FG37" s="1">
        <v>79900</v>
      </c>
      <c r="FH37" s="1">
        <v>84600</v>
      </c>
      <c r="FI37" s="1"/>
      <c r="FJ37" s="1"/>
      <c r="FK37" s="1">
        <v>139333.33333333334</v>
      </c>
      <c r="FL37" s="1">
        <v>70500</v>
      </c>
      <c r="FM37" s="1"/>
      <c r="FN37" s="1"/>
      <c r="FO37" s="1"/>
      <c r="FP37" s="1">
        <v>103400</v>
      </c>
      <c r="FQ37" s="9">
        <v>87319.354838709682</v>
      </c>
      <c r="FR37" s="1"/>
      <c r="FS37" s="1"/>
      <c r="FT37" s="1"/>
      <c r="FU37" s="1">
        <v>81545</v>
      </c>
      <c r="FV37" s="1"/>
      <c r="FW37" s="1"/>
      <c r="FX37" s="1"/>
      <c r="FY37" s="1"/>
      <c r="FZ37" s="1">
        <v>94000</v>
      </c>
      <c r="GA37" s="1"/>
      <c r="GB37" s="1">
        <v>117500</v>
      </c>
      <c r="GC37" s="1"/>
      <c r="GD37" s="1">
        <v>98700</v>
      </c>
      <c r="GE37" s="1"/>
      <c r="GF37" s="1"/>
      <c r="GG37" s="1"/>
      <c r="GH37" s="1"/>
      <c r="GI37" s="1"/>
      <c r="GJ37" s="9">
        <v>100131.36363636363</v>
      </c>
      <c r="GK37" s="1"/>
      <c r="GL37" s="1"/>
      <c r="GM37" s="1"/>
      <c r="GN37" s="1"/>
      <c r="GO37" s="1"/>
      <c r="GP37" s="1"/>
      <c r="GQ37" s="1">
        <v>98273</v>
      </c>
      <c r="GR37" s="1"/>
      <c r="GS37" s="1"/>
      <c r="GT37" s="1"/>
      <c r="GU37" s="1"/>
      <c r="GV37" s="1"/>
      <c r="GW37" s="1">
        <v>101520</v>
      </c>
      <c r="GX37" s="1"/>
      <c r="GY37" s="1">
        <v>84600</v>
      </c>
      <c r="GZ37" s="1"/>
      <c r="HA37" s="1"/>
      <c r="HB37" s="1"/>
      <c r="HC37" s="9">
        <v>96884.125</v>
      </c>
      <c r="HD37" s="1"/>
      <c r="HE37" s="1"/>
      <c r="HF37" s="1"/>
      <c r="HG37" s="1">
        <v>79900</v>
      </c>
      <c r="HH37" s="1"/>
      <c r="HI37" s="1"/>
      <c r="HJ37" s="1"/>
      <c r="HK37" s="1"/>
      <c r="HL37" s="1"/>
      <c r="HM37" s="1"/>
      <c r="HN37" s="1"/>
      <c r="HO37" s="1">
        <v>94000</v>
      </c>
      <c r="HP37" s="1">
        <v>94000</v>
      </c>
      <c r="HQ37" s="1"/>
      <c r="HR37" s="1"/>
      <c r="HS37" s="1"/>
      <c r="HT37" s="1"/>
      <c r="HU37" s="1"/>
      <c r="HV37" s="9">
        <v>90475</v>
      </c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</row>
    <row r="38" spans="1:249" s="6" customFormat="1" x14ac:dyDescent="0.4">
      <c r="A38" s="6" t="s">
        <v>43</v>
      </c>
      <c r="B38" s="6" t="s">
        <v>22</v>
      </c>
      <c r="C38" s="7"/>
      <c r="D38" s="7"/>
      <c r="E38" s="7">
        <v>24368.42105263158</v>
      </c>
      <c r="F38" s="7">
        <v>18753.454545454544</v>
      </c>
      <c r="G38" s="7">
        <v>35328.571428571428</v>
      </c>
      <c r="H38" s="7"/>
      <c r="I38" s="7">
        <v>19277</v>
      </c>
      <c r="J38" s="7">
        <v>20769.23076923077</v>
      </c>
      <c r="K38" s="7">
        <v>31500</v>
      </c>
      <c r="L38" s="7">
        <v>39882.541666666664</v>
      </c>
      <c r="M38" s="7">
        <v>25313.609467455623</v>
      </c>
      <c r="N38" s="7">
        <v>36000</v>
      </c>
      <c r="O38" s="7">
        <v>35709.090909090912</v>
      </c>
      <c r="P38" s="7">
        <v>65268</v>
      </c>
      <c r="Q38" s="7">
        <v>20324.891304347828</v>
      </c>
      <c r="R38" s="7">
        <v>14000</v>
      </c>
      <c r="S38" s="7">
        <v>19636.526315789473</v>
      </c>
      <c r="T38" s="7">
        <v>22063.029850746268</v>
      </c>
      <c r="U38" s="9">
        <v>24682.021276595744</v>
      </c>
      <c r="V38" s="7"/>
      <c r="W38" s="7"/>
      <c r="X38" s="7">
        <v>34571.428571428572</v>
      </c>
      <c r="Y38" s="7">
        <v>19367.479674796748</v>
      </c>
      <c r="Z38" s="7">
        <v>19440</v>
      </c>
      <c r="AA38" s="7"/>
      <c r="AB38" s="7">
        <v>22497.25</v>
      </c>
      <c r="AC38" s="7">
        <v>21793.103448275862</v>
      </c>
      <c r="AD38" s="7">
        <v>27540</v>
      </c>
      <c r="AE38" s="7">
        <v>20941.176470588234</v>
      </c>
      <c r="AF38" s="7">
        <v>22948.275862068964</v>
      </c>
      <c r="AG38" s="7">
        <v>20500</v>
      </c>
      <c r="AH38" s="7">
        <v>36940.594059405943</v>
      </c>
      <c r="AI38" s="7">
        <v>33600</v>
      </c>
      <c r="AJ38" s="7">
        <v>24550</v>
      </c>
      <c r="AK38" s="7">
        <v>27886.5</v>
      </c>
      <c r="AL38" s="7">
        <v>27273</v>
      </c>
      <c r="AM38" s="7">
        <v>17816.326530612245</v>
      </c>
      <c r="AN38" s="9">
        <v>24669.443599493028</v>
      </c>
      <c r="AO38" s="7"/>
      <c r="AP38" s="7"/>
      <c r="AQ38" s="7">
        <v>34818.15789473684</v>
      </c>
      <c r="AR38" s="7">
        <v>23712.720000000001</v>
      </c>
      <c r="AS38" s="7">
        <v>17696.296296296296</v>
      </c>
      <c r="AT38" s="7">
        <v>36000</v>
      </c>
      <c r="AU38" s="7">
        <v>18425.178571428572</v>
      </c>
      <c r="AV38" s="7">
        <v>23180.291666666668</v>
      </c>
      <c r="AW38" s="7">
        <v>26896.551724137931</v>
      </c>
      <c r="AX38" s="7">
        <v>26722.222222222223</v>
      </c>
      <c r="AY38" s="7">
        <v>23921.052631578947</v>
      </c>
      <c r="AZ38" s="7">
        <v>29738.095238095237</v>
      </c>
      <c r="BA38" s="7">
        <v>20916.666666666668</v>
      </c>
      <c r="BB38" s="7">
        <v>18218.2</v>
      </c>
      <c r="BC38" s="7">
        <v>19836</v>
      </c>
      <c r="BD38" s="7">
        <v>15649.75</v>
      </c>
      <c r="BE38" s="7">
        <v>30000</v>
      </c>
      <c r="BF38" s="7">
        <v>17860</v>
      </c>
      <c r="BG38" s="9">
        <v>22263.467075038287</v>
      </c>
      <c r="BH38" s="7"/>
      <c r="BI38" s="7"/>
      <c r="BJ38" s="7">
        <v>30642.857142857141</v>
      </c>
      <c r="BK38" s="7">
        <v>24728.585858585859</v>
      </c>
      <c r="BL38" s="7">
        <v>22645.16129032258</v>
      </c>
      <c r="BM38" s="7">
        <v>25636.5</v>
      </c>
      <c r="BN38" s="7">
        <v>28800</v>
      </c>
      <c r="BO38" s="7">
        <v>25302.888888888891</v>
      </c>
      <c r="BP38" s="7">
        <v>28232.558139534885</v>
      </c>
      <c r="BQ38" s="7">
        <v>22600</v>
      </c>
      <c r="BR38" s="7">
        <v>22153.846153846152</v>
      </c>
      <c r="BS38" s="7">
        <v>31425</v>
      </c>
      <c r="BT38" s="7">
        <v>23632.591160220996</v>
      </c>
      <c r="BU38" s="7">
        <v>24666.666666666668</v>
      </c>
      <c r="BV38" s="7">
        <v>22550</v>
      </c>
      <c r="BW38" s="7">
        <v>16363.636363636364</v>
      </c>
      <c r="BX38" s="7">
        <v>27273</v>
      </c>
      <c r="BY38" s="7">
        <v>31643.916666666668</v>
      </c>
      <c r="BZ38" s="9">
        <v>24984.858569051579</v>
      </c>
      <c r="CA38" s="7"/>
      <c r="CB38" s="7"/>
      <c r="CC38" s="7">
        <v>23862.611111111109</v>
      </c>
      <c r="CD38" s="7">
        <v>21566.423076923078</v>
      </c>
      <c r="CE38" s="7">
        <v>25644.444444444445</v>
      </c>
      <c r="CF38" s="7"/>
      <c r="CG38" s="7">
        <v>21709.200000000001</v>
      </c>
      <c r="CH38" s="7">
        <v>21675</v>
      </c>
      <c r="CI38" s="7">
        <v>32094.620689655174</v>
      </c>
      <c r="CJ38" s="7">
        <v>34500</v>
      </c>
      <c r="CK38" s="7">
        <v>24555.555555555555</v>
      </c>
      <c r="CL38" s="7">
        <v>21821.428571428572</v>
      </c>
      <c r="CM38" s="7">
        <v>27563.157894736843</v>
      </c>
      <c r="CN38" s="7">
        <v>25062.5</v>
      </c>
      <c r="CO38" s="7">
        <v>21363.636363636364</v>
      </c>
      <c r="CP38" s="7">
        <v>16000</v>
      </c>
      <c r="CQ38" s="7">
        <v>30000</v>
      </c>
      <c r="CR38" s="7">
        <v>18537.916666666668</v>
      </c>
      <c r="CS38" s="9">
        <v>24003.659090909092</v>
      </c>
      <c r="CT38" s="7"/>
      <c r="CU38" s="7"/>
      <c r="CV38" s="7">
        <v>34876.923076923078</v>
      </c>
      <c r="CW38" s="7">
        <v>20557.446808510638</v>
      </c>
      <c r="CX38" s="7">
        <v>23660.754716981133</v>
      </c>
      <c r="CY38" s="7">
        <v>34500</v>
      </c>
      <c r="CZ38" s="7">
        <v>19151.515151515152</v>
      </c>
      <c r="DA38" s="7">
        <v>21733.333333333332</v>
      </c>
      <c r="DB38" s="7">
        <v>22436.770700636942</v>
      </c>
      <c r="DC38" s="7">
        <v>18981.8</v>
      </c>
      <c r="DD38" s="7">
        <v>27778.571428571428</v>
      </c>
      <c r="DE38" s="7">
        <v>25100</v>
      </c>
      <c r="DF38" s="7">
        <v>26819.193277310926</v>
      </c>
      <c r="DG38" s="7">
        <v>21613.65</v>
      </c>
      <c r="DH38" s="7">
        <v>16902.439024390245</v>
      </c>
      <c r="DI38" s="7">
        <v>28000</v>
      </c>
      <c r="DJ38" s="7">
        <v>14727.458333333334</v>
      </c>
      <c r="DK38" s="7">
        <v>20395.348837209302</v>
      </c>
      <c r="DL38" s="9">
        <v>22421.588811188813</v>
      </c>
      <c r="DM38" s="7"/>
      <c r="DN38" s="7"/>
      <c r="DO38" s="7">
        <v>23666.666666666668</v>
      </c>
      <c r="DP38" s="7">
        <v>20760</v>
      </c>
      <c r="DQ38" s="7">
        <v>19172.772727272728</v>
      </c>
      <c r="DR38" s="7"/>
      <c r="DS38" s="7">
        <v>21294.117647058825</v>
      </c>
      <c r="DT38" s="7">
        <v>26096.723404255321</v>
      </c>
      <c r="DU38" s="7">
        <v>26021.276595744679</v>
      </c>
      <c r="DV38" s="7">
        <v>24013.888888888891</v>
      </c>
      <c r="DW38" s="7">
        <v>24294.117647058825</v>
      </c>
      <c r="DX38" s="7">
        <v>27481.481481481482</v>
      </c>
      <c r="DY38" s="7">
        <v>24000</v>
      </c>
      <c r="DZ38" s="7">
        <v>24882.352941176472</v>
      </c>
      <c r="EA38" s="7">
        <v>16869.23076923077</v>
      </c>
      <c r="EB38" s="7">
        <v>32250</v>
      </c>
      <c r="EC38" s="7">
        <v>22000</v>
      </c>
      <c r="ED38" s="7">
        <v>24625</v>
      </c>
      <c r="EE38" s="9">
        <v>23085.36745406824</v>
      </c>
      <c r="EF38" s="7"/>
      <c r="EG38" s="7"/>
      <c r="EH38" s="7">
        <v>34006.428571428572</v>
      </c>
      <c r="EI38" s="7">
        <v>20539.0625</v>
      </c>
      <c r="EJ38" s="7">
        <v>44153.511627906977</v>
      </c>
      <c r="EK38" s="7">
        <v>33000</v>
      </c>
      <c r="EL38" s="7">
        <v>27000</v>
      </c>
      <c r="EM38" s="7">
        <v>21087.481481481482</v>
      </c>
      <c r="EN38" s="7">
        <v>26696.529411764706</v>
      </c>
      <c r="EO38" s="7">
        <v>33000</v>
      </c>
      <c r="EP38" s="7">
        <v>23857.142857142859</v>
      </c>
      <c r="EQ38" s="7">
        <v>33343.75</v>
      </c>
      <c r="ER38" s="7">
        <v>21548.204819277107</v>
      </c>
      <c r="ES38" s="7">
        <v>28500</v>
      </c>
      <c r="ET38" s="7">
        <v>18852.941176470587</v>
      </c>
      <c r="EU38" s="7">
        <v>16846.153846153848</v>
      </c>
      <c r="EV38" s="7"/>
      <c r="EW38" s="7">
        <v>24000</v>
      </c>
      <c r="EX38" s="9">
        <v>27001.754716981133</v>
      </c>
      <c r="EY38" s="7"/>
      <c r="EZ38" s="7"/>
      <c r="FA38" s="7">
        <v>25205.521739130436</v>
      </c>
      <c r="FB38" s="7">
        <v>22094.444444444445</v>
      </c>
      <c r="FC38" s="7">
        <v>16856.338028169015</v>
      </c>
      <c r="FD38" s="7"/>
      <c r="FE38" s="7">
        <v>27333.333333333332</v>
      </c>
      <c r="FF38" s="7">
        <v>19964.157894736843</v>
      </c>
      <c r="FG38" s="7">
        <v>29823.875</v>
      </c>
      <c r="FH38" s="7">
        <v>44807.199999999997</v>
      </c>
      <c r="FI38" s="7">
        <v>32475</v>
      </c>
      <c r="FJ38" s="7">
        <v>31500</v>
      </c>
      <c r="FK38" s="7">
        <v>41234.42105263158</v>
      </c>
      <c r="FL38" s="7">
        <v>31727.333333333332</v>
      </c>
      <c r="FM38" s="7">
        <v>27000</v>
      </c>
      <c r="FN38" s="7">
        <v>19500</v>
      </c>
      <c r="FO38" s="7"/>
      <c r="FP38" s="7">
        <v>25333.333333333332</v>
      </c>
      <c r="FQ38" s="9">
        <v>23920.251322751323</v>
      </c>
      <c r="FR38" s="7"/>
      <c r="FS38" s="7"/>
      <c r="FT38" s="7">
        <v>38400</v>
      </c>
      <c r="FU38" s="7">
        <v>22640.384615384617</v>
      </c>
      <c r="FV38" s="7">
        <v>15428.571428571429</v>
      </c>
      <c r="FW38" s="7"/>
      <c r="FX38" s="7">
        <v>29000</v>
      </c>
      <c r="FY38" s="7">
        <v>26250</v>
      </c>
      <c r="FZ38" s="7">
        <v>50256.204545454544</v>
      </c>
      <c r="GA38" s="7">
        <v>23354.83870967742</v>
      </c>
      <c r="GB38" s="7">
        <v>24440</v>
      </c>
      <c r="GC38" s="7">
        <v>22173.333333333332</v>
      </c>
      <c r="GD38" s="7">
        <v>21857.142857142859</v>
      </c>
      <c r="GE38" s="7">
        <v>53824.6</v>
      </c>
      <c r="GF38" s="7">
        <v>27250</v>
      </c>
      <c r="GG38" s="7">
        <v>28500</v>
      </c>
      <c r="GH38" s="7">
        <v>68522.75</v>
      </c>
      <c r="GI38" s="7">
        <v>143833.33333333334</v>
      </c>
      <c r="GJ38" s="9">
        <v>30088.303680981597</v>
      </c>
      <c r="GK38" s="7"/>
      <c r="GL38" s="7"/>
      <c r="GM38" s="7">
        <v>43363.63636363636</v>
      </c>
      <c r="GN38" s="7">
        <v>18977.32</v>
      </c>
      <c r="GO38" s="7">
        <v>22461.696428571428</v>
      </c>
      <c r="GP38" s="7"/>
      <c r="GQ38" s="7">
        <v>27000</v>
      </c>
      <c r="GR38" s="7">
        <v>27381.8</v>
      </c>
      <c r="GS38" s="7">
        <v>25094.855072463768</v>
      </c>
      <c r="GT38" s="7">
        <v>23230.125</v>
      </c>
      <c r="GU38" s="7">
        <v>23030.333333333332</v>
      </c>
      <c r="GV38" s="7">
        <v>22095.238095238095</v>
      </c>
      <c r="GW38" s="7">
        <v>35300</v>
      </c>
      <c r="GX38" s="7">
        <v>120800</v>
      </c>
      <c r="GY38" s="7">
        <v>18187.5</v>
      </c>
      <c r="GZ38" s="7"/>
      <c r="HA38" s="7"/>
      <c r="HB38" s="7">
        <v>19544</v>
      </c>
      <c r="HC38" s="9">
        <v>25043.977876106193</v>
      </c>
      <c r="HD38" s="7"/>
      <c r="HE38" s="7"/>
      <c r="HF38" s="7">
        <v>34400</v>
      </c>
      <c r="HG38" s="7">
        <v>19560</v>
      </c>
      <c r="HH38" s="7">
        <v>19871.428571428572</v>
      </c>
      <c r="HI38" s="7"/>
      <c r="HJ38" s="7">
        <v>14000</v>
      </c>
      <c r="HK38" s="7"/>
      <c r="HL38" s="7">
        <v>22729.805555555555</v>
      </c>
      <c r="HM38" s="7">
        <v>33000</v>
      </c>
      <c r="HN38" s="7">
        <v>22171.875</v>
      </c>
      <c r="HO38" s="7">
        <v>45600</v>
      </c>
      <c r="HP38" s="7">
        <v>26937.025641025641</v>
      </c>
      <c r="HQ38" s="7">
        <v>25333.333333333332</v>
      </c>
      <c r="HR38" s="7">
        <v>20200</v>
      </c>
      <c r="HS38" s="7">
        <v>24000</v>
      </c>
      <c r="HT38" s="7">
        <v>18182</v>
      </c>
      <c r="HU38" s="7">
        <v>21342.105263157893</v>
      </c>
      <c r="HV38" s="9">
        <v>22577.040880503144</v>
      </c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</row>
    <row r="39" spans="1:249" hidden="1" x14ac:dyDescent="0.4">
      <c r="A39" t="s">
        <v>43</v>
      </c>
      <c r="B39" t="s">
        <v>1</v>
      </c>
      <c r="C39" s="1"/>
      <c r="D39" s="1"/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/>
      <c r="S39" s="1"/>
      <c r="T39" s="1">
        <v>0</v>
      </c>
      <c r="U39" s="9">
        <v>0</v>
      </c>
      <c r="V39" s="1"/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/>
      <c r="AC39" s="1">
        <v>0</v>
      </c>
      <c r="AD39" s="1">
        <v>0</v>
      </c>
      <c r="AE39" s="1">
        <v>0</v>
      </c>
      <c r="AF39" s="1"/>
      <c r="AG39" s="1"/>
      <c r="AH39" s="1">
        <v>0</v>
      </c>
      <c r="AI39" s="1"/>
      <c r="AJ39" s="1"/>
      <c r="AK39" s="1">
        <v>0</v>
      </c>
      <c r="AL39" s="1"/>
      <c r="AM39" s="1"/>
      <c r="AN39" s="9">
        <v>0</v>
      </c>
      <c r="AO39" s="1"/>
      <c r="AP39" s="1"/>
      <c r="AQ39" s="1">
        <v>0</v>
      </c>
      <c r="AR39" s="1">
        <v>0</v>
      </c>
      <c r="AS39" s="1">
        <v>0</v>
      </c>
      <c r="AT39" s="1">
        <v>0</v>
      </c>
      <c r="AU39" s="1"/>
      <c r="AV39" s="1">
        <v>0</v>
      </c>
      <c r="AW39" s="1"/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/>
      <c r="BD39" s="1"/>
      <c r="BE39" s="1">
        <v>0</v>
      </c>
      <c r="BF39" s="1"/>
      <c r="BG39" s="9">
        <v>0</v>
      </c>
      <c r="BH39" s="1"/>
      <c r="BI39" s="1">
        <v>0</v>
      </c>
      <c r="BJ39" s="1">
        <v>0</v>
      </c>
      <c r="BK39" s="1">
        <v>0</v>
      </c>
      <c r="BL39" s="1"/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/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/>
      <c r="BY39" s="1"/>
      <c r="BZ39" s="9">
        <v>0</v>
      </c>
      <c r="CA39" s="1"/>
      <c r="CB39" s="1"/>
      <c r="CC39" s="1">
        <v>0</v>
      </c>
      <c r="CD39" s="1">
        <v>0</v>
      </c>
      <c r="CE39" s="1"/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/>
      <c r="CL39" s="1">
        <v>0</v>
      </c>
      <c r="CM39" s="1">
        <v>0</v>
      </c>
      <c r="CN39" s="1">
        <v>0</v>
      </c>
      <c r="CO39" s="1">
        <v>0</v>
      </c>
      <c r="CP39" s="1"/>
      <c r="CQ39" s="1"/>
      <c r="CR39" s="1"/>
      <c r="CS39" s="9">
        <v>0</v>
      </c>
      <c r="CT39" s="1"/>
      <c r="CU39" s="1"/>
      <c r="CV39" s="1">
        <v>0</v>
      </c>
      <c r="CW39" s="1">
        <v>0</v>
      </c>
      <c r="CX39" s="1">
        <v>0</v>
      </c>
      <c r="CY39" s="1"/>
      <c r="CZ39" s="1"/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/>
      <c r="DI39" s="1"/>
      <c r="DJ39" s="1"/>
      <c r="DK39" s="1">
        <v>0</v>
      </c>
      <c r="DL39" s="9">
        <v>0</v>
      </c>
      <c r="DM39" s="1"/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/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/>
      <c r="EC39" s="1"/>
      <c r="ED39" s="1"/>
      <c r="EE39" s="9">
        <v>0</v>
      </c>
      <c r="EF39" s="1"/>
      <c r="EG39" s="1"/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/>
      <c r="EO39" s="1"/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/>
      <c r="EW39" s="1">
        <v>0</v>
      </c>
      <c r="EX39" s="9">
        <v>0</v>
      </c>
      <c r="EY39" s="1"/>
      <c r="EZ39" s="1"/>
      <c r="FA39" s="1">
        <v>0</v>
      </c>
      <c r="FB39" s="1">
        <v>0</v>
      </c>
      <c r="FC39" s="1">
        <v>0</v>
      </c>
      <c r="FD39" s="1">
        <v>0</v>
      </c>
      <c r="FE39" s="1"/>
      <c r="FF39" s="1">
        <v>0</v>
      </c>
      <c r="FG39" s="1">
        <v>0</v>
      </c>
      <c r="FH39" s="1">
        <v>0</v>
      </c>
      <c r="FI39" s="1"/>
      <c r="FJ39" s="1"/>
      <c r="FK39" s="1"/>
      <c r="FL39" s="1">
        <v>0</v>
      </c>
      <c r="FM39" s="1"/>
      <c r="FN39" s="1">
        <v>0</v>
      </c>
      <c r="FO39" s="1"/>
      <c r="FP39" s="1">
        <v>0</v>
      </c>
      <c r="FQ39" s="9">
        <v>0</v>
      </c>
      <c r="FR39" s="1"/>
      <c r="FS39" s="1">
        <v>0</v>
      </c>
      <c r="FT39" s="1">
        <v>0</v>
      </c>
      <c r="FU39" s="1">
        <v>0</v>
      </c>
      <c r="FV39" s="1">
        <v>0</v>
      </c>
      <c r="FW39" s="1"/>
      <c r="FX39" s="1"/>
      <c r="FY39" s="1"/>
      <c r="FZ39" s="1">
        <v>0</v>
      </c>
      <c r="GA39" s="1">
        <v>0</v>
      </c>
      <c r="GB39" s="1"/>
      <c r="GC39" s="1"/>
      <c r="GD39" s="1"/>
      <c r="GE39" s="1"/>
      <c r="GF39" s="1">
        <v>0</v>
      </c>
      <c r="GG39" s="1"/>
      <c r="GH39" s="1"/>
      <c r="GI39" s="1"/>
      <c r="GJ39" s="9">
        <v>0</v>
      </c>
      <c r="GK39" s="1"/>
      <c r="GL39" s="1">
        <v>0</v>
      </c>
      <c r="GM39" s="1">
        <v>0</v>
      </c>
      <c r="GN39" s="1">
        <v>0</v>
      </c>
      <c r="GO39" s="1">
        <v>0</v>
      </c>
      <c r="GP39" s="1">
        <v>0</v>
      </c>
      <c r="GQ39" s="1">
        <v>0</v>
      </c>
      <c r="GR39" s="1">
        <v>0</v>
      </c>
      <c r="GS39" s="1">
        <v>0</v>
      </c>
      <c r="GT39" s="1"/>
      <c r="GU39" s="1">
        <v>0</v>
      </c>
      <c r="GV39" s="1"/>
      <c r="GW39" s="1">
        <v>0</v>
      </c>
      <c r="GX39" s="1">
        <v>0</v>
      </c>
      <c r="GY39" s="1">
        <v>0</v>
      </c>
      <c r="GZ39" s="1">
        <v>0</v>
      </c>
      <c r="HA39" s="1"/>
      <c r="HB39" s="1"/>
      <c r="HC39" s="9">
        <v>0</v>
      </c>
      <c r="HD39" s="1"/>
      <c r="HE39" s="1"/>
      <c r="HF39" s="1"/>
      <c r="HG39" s="1">
        <v>0</v>
      </c>
      <c r="HH39" s="1"/>
      <c r="HI39" s="1">
        <v>0</v>
      </c>
      <c r="HJ39" s="1"/>
      <c r="HK39" s="1">
        <v>0</v>
      </c>
      <c r="HL39" s="1"/>
      <c r="HM39" s="1">
        <v>0</v>
      </c>
      <c r="HN39" s="1">
        <v>0</v>
      </c>
      <c r="HO39" s="1">
        <v>0</v>
      </c>
      <c r="HP39" s="1">
        <v>0</v>
      </c>
      <c r="HQ39" s="1">
        <v>0</v>
      </c>
      <c r="HR39" s="1">
        <v>0</v>
      </c>
      <c r="HS39" s="1">
        <v>0</v>
      </c>
      <c r="HT39" s="1"/>
      <c r="HU39" s="1">
        <v>0</v>
      </c>
      <c r="HV39" s="9">
        <v>0</v>
      </c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</row>
    <row r="40" spans="1:249" hidden="1" x14ac:dyDescent="0.4">
      <c r="A40" t="s">
        <v>43</v>
      </c>
      <c r="B40" t="s">
        <v>8</v>
      </c>
      <c r="C40" s="1"/>
      <c r="D40" s="1"/>
      <c r="E40" s="1">
        <v>0</v>
      </c>
      <c r="F40" s="1">
        <v>0</v>
      </c>
      <c r="G40" s="1"/>
      <c r="H40" s="1"/>
      <c r="I40" s="1">
        <v>0</v>
      </c>
      <c r="J40" s="1">
        <v>0</v>
      </c>
      <c r="K40" s="1">
        <v>0</v>
      </c>
      <c r="L40" s="1">
        <v>0</v>
      </c>
      <c r="M40" s="1"/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/>
      <c r="T40" s="1">
        <v>0</v>
      </c>
      <c r="U40" s="9">
        <v>0</v>
      </c>
      <c r="V40" s="1"/>
      <c r="W40" s="1"/>
      <c r="X40" s="1">
        <v>0</v>
      </c>
      <c r="Y40" s="1">
        <v>0</v>
      </c>
      <c r="Z40" s="1">
        <v>0</v>
      </c>
      <c r="AA40" s="1"/>
      <c r="AB40" s="1">
        <v>0</v>
      </c>
      <c r="AC40" s="1">
        <v>0</v>
      </c>
      <c r="AD40" s="1">
        <v>0</v>
      </c>
      <c r="AE40" s="1"/>
      <c r="AF40" s="1">
        <v>0</v>
      </c>
      <c r="AG40" s="1">
        <v>0</v>
      </c>
      <c r="AH40" s="1">
        <v>0</v>
      </c>
      <c r="AI40" s="1"/>
      <c r="AJ40" s="1">
        <v>0</v>
      </c>
      <c r="AK40" s="1">
        <v>0</v>
      </c>
      <c r="AL40" s="1"/>
      <c r="AM40" s="1"/>
      <c r="AN40" s="9">
        <v>0</v>
      </c>
      <c r="AO40" s="1"/>
      <c r="AP40" s="1"/>
      <c r="AQ40" s="1">
        <v>0</v>
      </c>
      <c r="AR40" s="1">
        <v>0</v>
      </c>
      <c r="AS40" s="1">
        <v>0</v>
      </c>
      <c r="AT40" s="1"/>
      <c r="AU40" s="1">
        <v>0</v>
      </c>
      <c r="AV40" s="1">
        <v>0</v>
      </c>
      <c r="AW40" s="1">
        <v>0</v>
      </c>
      <c r="AX40" s="1"/>
      <c r="AY40" s="1"/>
      <c r="AZ40" s="1">
        <v>0</v>
      </c>
      <c r="BA40" s="1">
        <v>0</v>
      </c>
      <c r="BB40" s="1">
        <v>0</v>
      </c>
      <c r="BC40" s="1">
        <v>0</v>
      </c>
      <c r="BD40" s="1"/>
      <c r="BE40" s="1"/>
      <c r="BF40" s="1"/>
      <c r="BG40" s="9">
        <v>0</v>
      </c>
      <c r="BH40" s="1"/>
      <c r="BI40" s="1"/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/>
      <c r="BS40" s="1">
        <v>0</v>
      </c>
      <c r="BT40" s="1">
        <v>0</v>
      </c>
      <c r="BU40" s="1">
        <v>0</v>
      </c>
      <c r="BV40" s="1">
        <v>0</v>
      </c>
      <c r="BW40" s="1"/>
      <c r="BX40" s="1"/>
      <c r="BY40" s="1"/>
      <c r="BZ40" s="9">
        <v>0</v>
      </c>
      <c r="CA40" s="1"/>
      <c r="CB40" s="1"/>
      <c r="CC40" s="1">
        <v>0</v>
      </c>
      <c r="CD40" s="1">
        <v>0</v>
      </c>
      <c r="CE40" s="1">
        <v>0</v>
      </c>
      <c r="CF40" s="1"/>
      <c r="CG40" s="1"/>
      <c r="CH40" s="1"/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/>
      <c r="CR40" s="1">
        <v>0</v>
      </c>
      <c r="CS40" s="9">
        <v>0</v>
      </c>
      <c r="CT40" s="1"/>
      <c r="CU40" s="1"/>
      <c r="CV40" s="1">
        <v>0</v>
      </c>
      <c r="CW40" s="1">
        <v>0</v>
      </c>
      <c r="CX40" s="1">
        <v>0</v>
      </c>
      <c r="CY40" s="1"/>
      <c r="CZ40" s="1">
        <v>0</v>
      </c>
      <c r="DA40" s="1">
        <v>0</v>
      </c>
      <c r="DB40" s="1">
        <v>0</v>
      </c>
      <c r="DC40" s="1"/>
      <c r="DD40" s="1"/>
      <c r="DE40" s="1">
        <v>0</v>
      </c>
      <c r="DF40" s="1">
        <v>0</v>
      </c>
      <c r="DG40" s="1">
        <v>0</v>
      </c>
      <c r="DH40" s="1"/>
      <c r="DI40" s="1">
        <v>0</v>
      </c>
      <c r="DJ40" s="1"/>
      <c r="DK40" s="1"/>
      <c r="DL40" s="9">
        <v>0</v>
      </c>
      <c r="DM40" s="1"/>
      <c r="DN40" s="1"/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/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/>
      <c r="ED40" s="1">
        <v>0</v>
      </c>
      <c r="EE40" s="9">
        <v>0</v>
      </c>
      <c r="EF40" s="1"/>
      <c r="EG40" s="1"/>
      <c r="EH40" s="1">
        <v>0</v>
      </c>
      <c r="EI40" s="1">
        <v>0</v>
      </c>
      <c r="EJ40" s="1">
        <v>0</v>
      </c>
      <c r="EK40" s="1">
        <v>0</v>
      </c>
      <c r="EL40" s="1"/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/>
      <c r="EU40" s="1">
        <v>0</v>
      </c>
      <c r="EV40" s="1"/>
      <c r="EW40" s="1">
        <v>0</v>
      </c>
      <c r="EX40" s="9">
        <v>0</v>
      </c>
      <c r="EY40" s="1"/>
      <c r="EZ40" s="1"/>
      <c r="FA40" s="1"/>
      <c r="FB40" s="1">
        <v>0</v>
      </c>
      <c r="FC40" s="1"/>
      <c r="FD40" s="1">
        <v>0</v>
      </c>
      <c r="FE40" s="1"/>
      <c r="FF40" s="1">
        <v>0</v>
      </c>
      <c r="FG40" s="1">
        <v>0</v>
      </c>
      <c r="FH40" s="1">
        <v>0</v>
      </c>
      <c r="FI40" s="1">
        <v>0</v>
      </c>
      <c r="FJ40" s="1">
        <v>0</v>
      </c>
      <c r="FK40" s="1">
        <v>0</v>
      </c>
      <c r="FL40" s="1"/>
      <c r="FM40" s="1">
        <v>0</v>
      </c>
      <c r="FN40" s="1">
        <v>0</v>
      </c>
      <c r="FO40" s="1"/>
      <c r="FP40" s="1">
        <v>0</v>
      </c>
      <c r="FQ40" s="9">
        <v>0</v>
      </c>
      <c r="FR40" s="1"/>
      <c r="FS40" s="1"/>
      <c r="FT40" s="1">
        <v>0</v>
      </c>
      <c r="FU40" s="1">
        <v>0</v>
      </c>
      <c r="FV40" s="1">
        <v>0</v>
      </c>
      <c r="FW40" s="1"/>
      <c r="FX40" s="1">
        <v>0</v>
      </c>
      <c r="FY40" s="1"/>
      <c r="FZ40" s="1">
        <v>0</v>
      </c>
      <c r="GA40" s="1">
        <v>0</v>
      </c>
      <c r="GB40" s="1">
        <v>0</v>
      </c>
      <c r="GC40" s="1"/>
      <c r="GD40" s="1">
        <v>0</v>
      </c>
      <c r="GE40" s="1">
        <v>0</v>
      </c>
      <c r="GF40" s="1">
        <v>0</v>
      </c>
      <c r="GG40" s="1"/>
      <c r="GH40" s="1"/>
      <c r="GI40" s="1"/>
      <c r="GJ40" s="9">
        <v>0</v>
      </c>
      <c r="GK40" s="1"/>
      <c r="GL40" s="1"/>
      <c r="GM40" s="1">
        <v>0</v>
      </c>
      <c r="GN40" s="1">
        <v>0</v>
      </c>
      <c r="GO40" s="1">
        <v>0</v>
      </c>
      <c r="GP40" s="1">
        <v>0</v>
      </c>
      <c r="GQ40" s="1">
        <v>0</v>
      </c>
      <c r="GR40" s="1">
        <v>0</v>
      </c>
      <c r="GS40" s="1">
        <v>0</v>
      </c>
      <c r="GT40" s="1">
        <v>0</v>
      </c>
      <c r="GU40" s="1"/>
      <c r="GV40" s="1">
        <v>0</v>
      </c>
      <c r="GW40" s="1">
        <v>0</v>
      </c>
      <c r="GX40" s="1"/>
      <c r="GY40" s="1">
        <v>0</v>
      </c>
      <c r="GZ40" s="1">
        <v>0</v>
      </c>
      <c r="HA40" s="1"/>
      <c r="HB40" s="1">
        <v>0</v>
      </c>
      <c r="HC40" s="9">
        <v>0</v>
      </c>
      <c r="HD40" s="1"/>
      <c r="HE40" s="1"/>
      <c r="HF40" s="1">
        <v>0</v>
      </c>
      <c r="HG40" s="1">
        <v>0</v>
      </c>
      <c r="HH40" s="1">
        <v>0</v>
      </c>
      <c r="HI40" s="1">
        <v>0</v>
      </c>
      <c r="HJ40" s="1">
        <v>0</v>
      </c>
      <c r="HK40" s="1">
        <v>0</v>
      </c>
      <c r="HL40" s="1">
        <v>0</v>
      </c>
      <c r="HM40" s="1"/>
      <c r="HN40" s="1">
        <v>0</v>
      </c>
      <c r="HO40" s="1">
        <v>0</v>
      </c>
      <c r="HP40" s="1">
        <v>0</v>
      </c>
      <c r="HQ40" s="1">
        <v>0</v>
      </c>
      <c r="HR40" s="1">
        <v>0</v>
      </c>
      <c r="HS40" s="1">
        <v>0</v>
      </c>
      <c r="HT40" s="1"/>
      <c r="HU40" s="1">
        <v>0</v>
      </c>
      <c r="HV40" s="9">
        <v>0</v>
      </c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</row>
    <row r="41" spans="1:249" hidden="1" x14ac:dyDescent="0.4">
      <c r="A41" t="s">
        <v>43</v>
      </c>
      <c r="B41" t="s">
        <v>16</v>
      </c>
      <c r="C41" s="1"/>
      <c r="D41" s="1"/>
      <c r="E41" s="1"/>
      <c r="F41" s="1">
        <v>180000</v>
      </c>
      <c r="G41" s="1"/>
      <c r="H41" s="1"/>
      <c r="I41" s="1"/>
      <c r="J41" s="1"/>
      <c r="K41" s="1"/>
      <c r="L41" s="1">
        <v>100000</v>
      </c>
      <c r="M41" s="1">
        <v>220833.33333333334</v>
      </c>
      <c r="N41" s="1">
        <v>250000</v>
      </c>
      <c r="O41" s="1"/>
      <c r="P41" s="1"/>
      <c r="Q41" s="1">
        <v>200000</v>
      </c>
      <c r="R41" s="1">
        <v>200500</v>
      </c>
      <c r="S41" s="1">
        <v>170000</v>
      </c>
      <c r="T41" s="1">
        <v>180000</v>
      </c>
      <c r="U41" s="9">
        <v>206550</v>
      </c>
      <c r="V41" s="1"/>
      <c r="W41" s="1"/>
      <c r="X41" s="1">
        <v>250000</v>
      </c>
      <c r="Y41" s="1">
        <v>230000</v>
      </c>
      <c r="Z41" s="1"/>
      <c r="AA41" s="1">
        <v>220000</v>
      </c>
      <c r="AB41" s="1"/>
      <c r="AC41" s="1">
        <v>200000</v>
      </c>
      <c r="AD41" s="1">
        <v>160000</v>
      </c>
      <c r="AE41" s="1"/>
      <c r="AF41" s="1">
        <v>239000</v>
      </c>
      <c r="AG41" s="1"/>
      <c r="AH41" s="1"/>
      <c r="AI41" s="1">
        <v>260000</v>
      </c>
      <c r="AJ41" s="1"/>
      <c r="AK41" s="1"/>
      <c r="AL41" s="1"/>
      <c r="AM41" s="1"/>
      <c r="AN41" s="9">
        <v>222714.28571428571</v>
      </c>
      <c r="AO41" s="1"/>
      <c r="AP41" s="1"/>
      <c r="AQ41" s="1">
        <v>200000</v>
      </c>
      <c r="AR41" s="1"/>
      <c r="AS41" s="1"/>
      <c r="AT41" s="1"/>
      <c r="AU41" s="1"/>
      <c r="AV41" s="1"/>
      <c r="AW41" s="1">
        <v>180000</v>
      </c>
      <c r="AX41" s="1"/>
      <c r="AY41" s="1">
        <v>181818</v>
      </c>
      <c r="AZ41" s="1"/>
      <c r="BA41" s="1">
        <v>190000</v>
      </c>
      <c r="BB41" s="1"/>
      <c r="BC41" s="1"/>
      <c r="BD41" s="1"/>
      <c r="BE41" s="1"/>
      <c r="BF41" s="1"/>
      <c r="BG41" s="9">
        <v>187954.5</v>
      </c>
      <c r="BH41" s="1"/>
      <c r="BI41" s="1"/>
      <c r="BJ41" s="1"/>
      <c r="BK41" s="1">
        <v>195000</v>
      </c>
      <c r="BL41" s="1">
        <v>200000</v>
      </c>
      <c r="BM41" s="1"/>
      <c r="BN41" s="1"/>
      <c r="BO41" s="1"/>
      <c r="BP41" s="1">
        <v>190909</v>
      </c>
      <c r="BQ41" s="1">
        <v>221500</v>
      </c>
      <c r="BR41" s="1">
        <v>230000</v>
      </c>
      <c r="BS41" s="1"/>
      <c r="BT41" s="1"/>
      <c r="BU41" s="1"/>
      <c r="BV41" s="1"/>
      <c r="BW41" s="1"/>
      <c r="BX41" s="1">
        <v>163636</v>
      </c>
      <c r="BY41" s="1"/>
      <c r="BZ41" s="9">
        <v>211657.30769230769</v>
      </c>
      <c r="CA41" s="1"/>
      <c r="CB41" s="1"/>
      <c r="CC41" s="1">
        <v>400000</v>
      </c>
      <c r="CD41" s="1">
        <v>185000</v>
      </c>
      <c r="CE41" s="1">
        <v>220000</v>
      </c>
      <c r="CF41" s="1"/>
      <c r="CG41" s="1">
        <v>280000</v>
      </c>
      <c r="CH41" s="1"/>
      <c r="CI41" s="1">
        <v>200000</v>
      </c>
      <c r="CJ41" s="1"/>
      <c r="CK41" s="1">
        <v>390000</v>
      </c>
      <c r="CL41" s="1"/>
      <c r="CM41" s="1"/>
      <c r="CN41" s="1"/>
      <c r="CO41" s="1"/>
      <c r="CP41" s="1"/>
      <c r="CQ41" s="1"/>
      <c r="CR41" s="1"/>
      <c r="CS41" s="9">
        <v>337407.40740740742</v>
      </c>
      <c r="CT41" s="1"/>
      <c r="CU41" s="1">
        <v>430000</v>
      </c>
      <c r="CV41" s="1"/>
      <c r="CW41" s="1">
        <v>170000</v>
      </c>
      <c r="CX41" s="1">
        <v>190000</v>
      </c>
      <c r="CY41" s="1">
        <v>180000</v>
      </c>
      <c r="CZ41" s="1">
        <v>180000</v>
      </c>
      <c r="DA41" s="1"/>
      <c r="DB41" s="1"/>
      <c r="DC41" s="1"/>
      <c r="DD41" s="1"/>
      <c r="DE41" s="1"/>
      <c r="DF41" s="1">
        <v>200000</v>
      </c>
      <c r="DG41" s="1"/>
      <c r="DH41" s="1"/>
      <c r="DI41" s="1"/>
      <c r="DJ41" s="1"/>
      <c r="DK41" s="1"/>
      <c r="DL41" s="9">
        <v>245000</v>
      </c>
      <c r="DM41" s="1"/>
      <c r="DN41" s="1"/>
      <c r="DO41" s="1"/>
      <c r="DP41" s="1">
        <v>221250</v>
      </c>
      <c r="DQ41" s="1"/>
      <c r="DR41" s="1">
        <v>180000</v>
      </c>
      <c r="DS41" s="1"/>
      <c r="DT41" s="1">
        <v>200000</v>
      </c>
      <c r="DU41" s="1">
        <v>181818</v>
      </c>
      <c r="DV41" s="1"/>
      <c r="DW41" s="1">
        <v>206000</v>
      </c>
      <c r="DX41" s="1"/>
      <c r="DY41" s="1">
        <v>250000</v>
      </c>
      <c r="DZ41" s="1"/>
      <c r="EA41" s="1"/>
      <c r="EB41" s="1"/>
      <c r="EC41" s="1"/>
      <c r="ED41" s="1"/>
      <c r="EE41" s="9">
        <v>207629.85714285713</v>
      </c>
      <c r="EF41" s="1"/>
      <c r="EG41" s="1"/>
      <c r="EH41" s="1"/>
      <c r="EI41" s="1"/>
      <c r="EJ41" s="1">
        <v>220000</v>
      </c>
      <c r="EK41" s="1">
        <v>260000</v>
      </c>
      <c r="EL41" s="1"/>
      <c r="EM41" s="1">
        <v>218636</v>
      </c>
      <c r="EN41" s="1">
        <v>200000</v>
      </c>
      <c r="EO41" s="1"/>
      <c r="EP41" s="1"/>
      <c r="EQ41" s="1">
        <v>240000</v>
      </c>
      <c r="ER41" s="1"/>
      <c r="ES41" s="1"/>
      <c r="ET41" s="1"/>
      <c r="EU41" s="1"/>
      <c r="EV41" s="1"/>
      <c r="EW41" s="1">
        <v>210000</v>
      </c>
      <c r="EX41" s="9">
        <v>223896</v>
      </c>
      <c r="EY41" s="1"/>
      <c r="EZ41" s="1">
        <v>464600</v>
      </c>
      <c r="FA41" s="1"/>
      <c r="FB41" s="1">
        <v>250666.66666666666</v>
      </c>
      <c r="FC41" s="1"/>
      <c r="FD41" s="1">
        <v>235000</v>
      </c>
      <c r="FE41" s="1"/>
      <c r="FF41" s="1">
        <v>160000</v>
      </c>
      <c r="FG41" s="1"/>
      <c r="FH41" s="1"/>
      <c r="FI41" s="1"/>
      <c r="FJ41" s="1">
        <v>220000</v>
      </c>
      <c r="FK41" s="1">
        <v>190000</v>
      </c>
      <c r="FL41" s="1"/>
      <c r="FM41" s="1"/>
      <c r="FN41" s="1"/>
      <c r="FO41" s="1"/>
      <c r="FP41" s="1"/>
      <c r="FQ41" s="9">
        <v>333458.82352941175</v>
      </c>
      <c r="FR41" s="1"/>
      <c r="FS41" s="1"/>
      <c r="FT41" s="1"/>
      <c r="FU41" s="1"/>
      <c r="FV41" s="1">
        <v>130000</v>
      </c>
      <c r="FW41" s="1"/>
      <c r="FX41" s="1"/>
      <c r="FY41" s="1"/>
      <c r="FZ41" s="1">
        <v>300000</v>
      </c>
      <c r="GA41" s="1"/>
      <c r="GB41" s="1"/>
      <c r="GC41" s="1">
        <v>180000</v>
      </c>
      <c r="GD41" s="1"/>
      <c r="GE41" s="1"/>
      <c r="GF41" s="1">
        <v>300000</v>
      </c>
      <c r="GG41" s="1">
        <v>260000</v>
      </c>
      <c r="GH41" s="1"/>
      <c r="GI41" s="1"/>
      <c r="GJ41" s="9">
        <v>245000</v>
      </c>
      <c r="GK41" s="1"/>
      <c r="GL41" s="1"/>
      <c r="GM41" s="1">
        <v>190000</v>
      </c>
      <c r="GN41" s="1">
        <v>202500</v>
      </c>
      <c r="GO41" s="1"/>
      <c r="GP41" s="1">
        <v>180000</v>
      </c>
      <c r="GQ41" s="1"/>
      <c r="GR41" s="1"/>
      <c r="GS41" s="1"/>
      <c r="GT41" s="1"/>
      <c r="GU41" s="1"/>
      <c r="GV41" s="1"/>
      <c r="GW41" s="1">
        <v>220000</v>
      </c>
      <c r="GX41" s="1"/>
      <c r="GY41" s="1"/>
      <c r="GZ41" s="1"/>
      <c r="HA41" s="1">
        <v>183636</v>
      </c>
      <c r="HB41" s="1"/>
      <c r="HC41" s="9">
        <v>199805.14285714287</v>
      </c>
      <c r="HD41" s="1"/>
      <c r="HE41" s="1"/>
      <c r="HF41" s="1"/>
      <c r="HG41" s="1">
        <v>210000</v>
      </c>
      <c r="HH41" s="1"/>
      <c r="HI41" s="1"/>
      <c r="HJ41" s="1"/>
      <c r="HK41" s="1"/>
      <c r="HL41" s="1"/>
      <c r="HM41" s="1"/>
      <c r="HN41" s="1">
        <v>210000</v>
      </c>
      <c r="HO41" s="1"/>
      <c r="HP41" s="1"/>
      <c r="HQ41" s="1"/>
      <c r="HR41" s="1">
        <v>220000</v>
      </c>
      <c r="HS41" s="1"/>
      <c r="HT41" s="1"/>
      <c r="HU41" s="1"/>
      <c r="HV41" s="9">
        <v>212000</v>
      </c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</row>
    <row r="42" spans="1:249" s="6" customFormat="1" hidden="1" x14ac:dyDescent="0.4">
      <c r="A42" s="6" t="s">
        <v>43</v>
      </c>
      <c r="B42" s="6" t="s">
        <v>24</v>
      </c>
      <c r="C42" s="7"/>
      <c r="D42" s="7">
        <v>170000</v>
      </c>
      <c r="E42" s="7"/>
      <c r="F42" s="7">
        <v>137000</v>
      </c>
      <c r="G42" s="7"/>
      <c r="H42" s="7">
        <v>100000</v>
      </c>
      <c r="I42" s="7"/>
      <c r="J42" s="7"/>
      <c r="K42" s="7">
        <v>156666.66666666666</v>
      </c>
      <c r="L42" s="7">
        <v>128571.42857142857</v>
      </c>
      <c r="M42" s="7">
        <v>250000</v>
      </c>
      <c r="N42" s="7"/>
      <c r="O42" s="7">
        <v>148866.66666666666</v>
      </c>
      <c r="P42" s="7">
        <v>129000</v>
      </c>
      <c r="Q42" s="7"/>
      <c r="R42" s="7"/>
      <c r="S42" s="7"/>
      <c r="T42" s="7">
        <v>75000</v>
      </c>
      <c r="U42" s="9">
        <v>154683.63636363635</v>
      </c>
      <c r="V42" s="7"/>
      <c r="W42" s="7"/>
      <c r="X42" s="7"/>
      <c r="Y42" s="7">
        <v>126800</v>
      </c>
      <c r="Z42" s="7">
        <v>115000</v>
      </c>
      <c r="AA42" s="7">
        <v>117000</v>
      </c>
      <c r="AB42" s="7"/>
      <c r="AC42" s="7"/>
      <c r="AD42" s="7"/>
      <c r="AE42" s="7"/>
      <c r="AF42" s="7"/>
      <c r="AG42" s="7">
        <v>212600</v>
      </c>
      <c r="AH42" s="7">
        <v>100000</v>
      </c>
      <c r="AI42" s="7">
        <v>83636.333333333328</v>
      </c>
      <c r="AJ42" s="7">
        <v>187805.55555555556</v>
      </c>
      <c r="AK42" s="7"/>
      <c r="AL42" s="7"/>
      <c r="AM42" s="7"/>
      <c r="AN42" s="9">
        <v>149450.22500000001</v>
      </c>
      <c r="AO42" s="7"/>
      <c r="AP42" s="7">
        <v>190000</v>
      </c>
      <c r="AQ42" s="7">
        <v>150833.33333333334</v>
      </c>
      <c r="AR42" s="7">
        <v>146000</v>
      </c>
      <c r="AS42" s="7">
        <v>115000</v>
      </c>
      <c r="AT42" s="7"/>
      <c r="AU42" s="7"/>
      <c r="AV42" s="7"/>
      <c r="AW42" s="7">
        <v>130000</v>
      </c>
      <c r="AX42" s="7">
        <v>115000</v>
      </c>
      <c r="AY42" s="7"/>
      <c r="AZ42" s="7"/>
      <c r="BA42" s="7">
        <v>100000</v>
      </c>
      <c r="BB42" s="7"/>
      <c r="BC42" s="7"/>
      <c r="BD42" s="7"/>
      <c r="BE42" s="7"/>
      <c r="BF42" s="7"/>
      <c r="BG42" s="9">
        <v>126733.33333333333</v>
      </c>
      <c r="BH42" s="7"/>
      <c r="BI42" s="7">
        <v>210000</v>
      </c>
      <c r="BJ42" s="7"/>
      <c r="BK42" s="7">
        <v>117142.85714285714</v>
      </c>
      <c r="BL42" s="7">
        <v>130000</v>
      </c>
      <c r="BM42" s="7"/>
      <c r="BN42" s="7">
        <v>140000</v>
      </c>
      <c r="BO42" s="7">
        <v>95454</v>
      </c>
      <c r="BP42" s="7"/>
      <c r="BQ42" s="7">
        <v>185535</v>
      </c>
      <c r="BR42" s="7"/>
      <c r="BS42" s="7"/>
      <c r="BT42" s="7">
        <v>115000</v>
      </c>
      <c r="BU42" s="7">
        <v>100000</v>
      </c>
      <c r="BV42" s="7"/>
      <c r="BW42" s="7"/>
      <c r="BX42" s="7"/>
      <c r="BY42" s="7"/>
      <c r="BZ42" s="9">
        <v>134326.20000000001</v>
      </c>
      <c r="CA42" s="7"/>
      <c r="CB42" s="7">
        <v>180000</v>
      </c>
      <c r="CC42" s="7">
        <v>175000</v>
      </c>
      <c r="CD42" s="7"/>
      <c r="CE42" s="7">
        <v>120000</v>
      </c>
      <c r="CF42" s="7">
        <v>110000</v>
      </c>
      <c r="CG42" s="7"/>
      <c r="CH42" s="7">
        <v>123333.33333333333</v>
      </c>
      <c r="CI42" s="7"/>
      <c r="CJ42" s="7"/>
      <c r="CK42" s="7"/>
      <c r="CL42" s="7"/>
      <c r="CM42" s="7"/>
      <c r="CN42" s="7"/>
      <c r="CO42" s="7"/>
      <c r="CP42" s="7"/>
      <c r="CQ42" s="7"/>
      <c r="CR42" s="7">
        <v>110000</v>
      </c>
      <c r="CS42" s="9">
        <v>128823.5294117647</v>
      </c>
      <c r="CT42" s="7"/>
      <c r="CU42" s="7"/>
      <c r="CV42" s="7">
        <v>170000</v>
      </c>
      <c r="CW42" s="7"/>
      <c r="CX42" s="7">
        <v>150000</v>
      </c>
      <c r="CY42" s="7">
        <v>118750</v>
      </c>
      <c r="CZ42" s="7"/>
      <c r="DA42" s="7"/>
      <c r="DB42" s="7"/>
      <c r="DC42" s="7">
        <v>123333.33333333333</v>
      </c>
      <c r="DD42" s="7"/>
      <c r="DE42" s="7">
        <v>212600</v>
      </c>
      <c r="DF42" s="7"/>
      <c r="DG42" s="7"/>
      <c r="DH42" s="7"/>
      <c r="DI42" s="7"/>
      <c r="DJ42" s="7"/>
      <c r="DK42" s="7"/>
      <c r="DL42" s="9">
        <v>135542.85714285713</v>
      </c>
      <c r="DM42" s="7"/>
      <c r="DN42" s="7">
        <v>105333.33333333333</v>
      </c>
      <c r="DO42" s="7"/>
      <c r="DP42" s="7">
        <v>320000</v>
      </c>
      <c r="DQ42" s="7">
        <v>100000</v>
      </c>
      <c r="DR42" s="7">
        <v>109090.90909090909</v>
      </c>
      <c r="DS42" s="7"/>
      <c r="DT42" s="7"/>
      <c r="DU42" s="7"/>
      <c r="DV42" s="7">
        <v>80000</v>
      </c>
      <c r="DW42" s="7">
        <v>120000</v>
      </c>
      <c r="DX42" s="7"/>
      <c r="DY42" s="7">
        <v>119000</v>
      </c>
      <c r="DZ42" s="7">
        <v>180000</v>
      </c>
      <c r="EA42" s="7"/>
      <c r="EB42" s="7">
        <v>120000</v>
      </c>
      <c r="EC42" s="7">
        <v>77272</v>
      </c>
      <c r="ED42" s="7">
        <v>80000</v>
      </c>
      <c r="EE42" s="9">
        <v>148809.8909090909</v>
      </c>
      <c r="EF42" s="7"/>
      <c r="EG42" s="7">
        <v>160000</v>
      </c>
      <c r="EH42" s="7">
        <v>170000</v>
      </c>
      <c r="EI42" s="7">
        <v>185000</v>
      </c>
      <c r="EJ42" s="7">
        <v>130000</v>
      </c>
      <c r="EK42" s="7">
        <v>110000</v>
      </c>
      <c r="EL42" s="7"/>
      <c r="EM42" s="7"/>
      <c r="EN42" s="7"/>
      <c r="EO42" s="7">
        <v>110000</v>
      </c>
      <c r="EP42" s="7">
        <v>100000</v>
      </c>
      <c r="EQ42" s="7"/>
      <c r="ER42" s="7">
        <v>250000</v>
      </c>
      <c r="ES42" s="7">
        <v>110000</v>
      </c>
      <c r="ET42" s="7"/>
      <c r="EU42" s="7"/>
      <c r="EV42" s="7"/>
      <c r="EW42" s="7"/>
      <c r="EX42" s="9">
        <v>159318.18181818182</v>
      </c>
      <c r="EY42" s="7"/>
      <c r="EZ42" s="7"/>
      <c r="FA42" s="7">
        <v>117500</v>
      </c>
      <c r="FB42" s="7">
        <v>140000</v>
      </c>
      <c r="FC42" s="7"/>
      <c r="FD42" s="7">
        <v>200000</v>
      </c>
      <c r="FE42" s="7">
        <v>100000</v>
      </c>
      <c r="FF42" s="7">
        <v>134166.66666666666</v>
      </c>
      <c r="FG42" s="7"/>
      <c r="FH42" s="7">
        <v>120000</v>
      </c>
      <c r="FI42" s="7">
        <v>80000</v>
      </c>
      <c r="FJ42" s="7"/>
      <c r="FK42" s="7">
        <v>135777.77777777778</v>
      </c>
      <c r="FL42" s="7"/>
      <c r="FM42" s="7"/>
      <c r="FN42" s="7"/>
      <c r="FO42" s="7"/>
      <c r="FP42" s="7">
        <v>90000</v>
      </c>
      <c r="FQ42" s="9">
        <v>132619.04761904763</v>
      </c>
      <c r="FR42" s="7"/>
      <c r="FS42" s="7">
        <v>200000</v>
      </c>
      <c r="FT42" s="7"/>
      <c r="FU42" s="7">
        <v>120000</v>
      </c>
      <c r="FV42" s="7">
        <v>100000</v>
      </c>
      <c r="FW42" s="7"/>
      <c r="FX42" s="7"/>
      <c r="FY42" s="7"/>
      <c r="FZ42" s="7"/>
      <c r="GA42" s="7"/>
      <c r="GB42" s="7"/>
      <c r="GC42" s="7"/>
      <c r="GD42" s="7"/>
      <c r="GE42" s="7"/>
      <c r="GF42" s="7">
        <v>120000</v>
      </c>
      <c r="GG42" s="7">
        <v>90909</v>
      </c>
      <c r="GH42" s="7"/>
      <c r="GI42" s="7"/>
      <c r="GJ42" s="9">
        <v>150101</v>
      </c>
      <c r="GK42" s="7"/>
      <c r="GL42" s="7">
        <v>250000</v>
      </c>
      <c r="GM42" s="7">
        <v>140000</v>
      </c>
      <c r="GN42" s="7">
        <v>250000</v>
      </c>
      <c r="GO42" s="7">
        <v>100000</v>
      </c>
      <c r="GP42" s="7"/>
      <c r="GQ42" s="7">
        <v>125000</v>
      </c>
      <c r="GR42" s="7">
        <v>100000</v>
      </c>
      <c r="GS42" s="7"/>
      <c r="GT42" s="7">
        <v>73500</v>
      </c>
      <c r="GU42" s="7"/>
      <c r="GV42" s="7">
        <v>90000</v>
      </c>
      <c r="GW42" s="7"/>
      <c r="GX42" s="7">
        <v>75454.5</v>
      </c>
      <c r="GY42" s="7"/>
      <c r="GZ42" s="7"/>
      <c r="HA42" s="7"/>
      <c r="HB42" s="7"/>
      <c r="HC42" s="9">
        <v>100241.68292682926</v>
      </c>
      <c r="HD42" s="7"/>
      <c r="HE42" s="7"/>
      <c r="HF42" s="7"/>
      <c r="HG42" s="7">
        <v>160000</v>
      </c>
      <c r="HH42" s="7"/>
      <c r="HI42" s="7">
        <v>93434.333333333328</v>
      </c>
      <c r="HJ42" s="7"/>
      <c r="HK42" s="7"/>
      <c r="HL42" s="7"/>
      <c r="HM42" s="7"/>
      <c r="HN42" s="7"/>
      <c r="HO42" s="7"/>
      <c r="HP42" s="7">
        <v>40000</v>
      </c>
      <c r="HQ42" s="7"/>
      <c r="HR42" s="7"/>
      <c r="HS42" s="7"/>
      <c r="HT42" s="7"/>
      <c r="HU42" s="7">
        <v>80500</v>
      </c>
      <c r="HV42" s="9">
        <v>85513.193548387091</v>
      </c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</row>
    <row r="43" spans="1:249" hidden="1" x14ac:dyDescent="0.4">
      <c r="A43" t="s">
        <v>43</v>
      </c>
      <c r="B43" t="s">
        <v>17</v>
      </c>
      <c r="C43" s="1"/>
      <c r="D43" s="1"/>
      <c r="E43" s="1"/>
      <c r="F43" s="1"/>
      <c r="G43" s="1"/>
      <c r="H43" s="1"/>
      <c r="I43" s="1">
        <v>96120</v>
      </c>
      <c r="J43" s="1">
        <v>98700</v>
      </c>
      <c r="K43" s="1">
        <v>68363</v>
      </c>
      <c r="L43" s="1">
        <v>94000</v>
      </c>
      <c r="M43" s="1"/>
      <c r="N43" s="1"/>
      <c r="O43" s="1"/>
      <c r="P43" s="1"/>
      <c r="Q43" s="1">
        <v>93640</v>
      </c>
      <c r="R43" s="1"/>
      <c r="S43" s="1"/>
      <c r="T43" s="1"/>
      <c r="U43" s="9">
        <v>91938.3</v>
      </c>
      <c r="V43" s="1"/>
      <c r="W43" s="1"/>
      <c r="X43" s="1"/>
      <c r="Y43" s="1">
        <v>94000</v>
      </c>
      <c r="Z43" s="1"/>
      <c r="AA43" s="1"/>
      <c r="AB43" s="1"/>
      <c r="AC43" s="1"/>
      <c r="AD43" s="1">
        <v>84600</v>
      </c>
      <c r="AE43" s="1"/>
      <c r="AF43" s="1">
        <v>65800</v>
      </c>
      <c r="AG43" s="1"/>
      <c r="AH43" s="1"/>
      <c r="AI43" s="1"/>
      <c r="AJ43" s="1">
        <v>89335</v>
      </c>
      <c r="AK43" s="1"/>
      <c r="AL43" s="1"/>
      <c r="AM43" s="1"/>
      <c r="AN43" s="9">
        <v>86967.5</v>
      </c>
      <c r="AO43" s="1"/>
      <c r="AP43" s="1">
        <v>400000</v>
      </c>
      <c r="AQ43" s="1"/>
      <c r="AR43" s="1"/>
      <c r="AS43" s="1"/>
      <c r="AT43" s="1"/>
      <c r="AU43" s="1"/>
      <c r="AV43" s="1"/>
      <c r="AW43" s="1"/>
      <c r="AX43" s="1">
        <v>94000</v>
      </c>
      <c r="AY43" s="1"/>
      <c r="AZ43" s="1"/>
      <c r="BA43" s="1">
        <v>98700</v>
      </c>
      <c r="BB43" s="1">
        <v>98700</v>
      </c>
      <c r="BC43" s="1"/>
      <c r="BD43" s="1"/>
      <c r="BE43" s="1"/>
      <c r="BF43" s="1">
        <v>81466.666666666672</v>
      </c>
      <c r="BG43" s="9">
        <v>202709.09090909091</v>
      </c>
      <c r="BH43" s="1"/>
      <c r="BI43" s="1"/>
      <c r="BJ43" s="1">
        <v>131600</v>
      </c>
      <c r="BK43" s="1">
        <v>117500</v>
      </c>
      <c r="BL43" s="1">
        <v>101833.33333333333</v>
      </c>
      <c r="BM43" s="1"/>
      <c r="BN43" s="1"/>
      <c r="BO43" s="1"/>
      <c r="BP43" s="1"/>
      <c r="BQ43" s="1">
        <v>155100</v>
      </c>
      <c r="BR43" s="1"/>
      <c r="BS43" s="1"/>
      <c r="BT43" s="1">
        <v>84600</v>
      </c>
      <c r="BU43" s="1"/>
      <c r="BV43" s="1"/>
      <c r="BW43" s="1"/>
      <c r="BX43" s="1"/>
      <c r="BY43" s="1">
        <v>75200</v>
      </c>
      <c r="BZ43" s="9">
        <v>145064.86486486485</v>
      </c>
      <c r="CA43" s="1"/>
      <c r="CB43" s="1"/>
      <c r="CC43" s="1"/>
      <c r="CD43" s="1"/>
      <c r="CE43" s="1"/>
      <c r="CF43" s="1">
        <v>120320</v>
      </c>
      <c r="CG43" s="1"/>
      <c r="CH43" s="1"/>
      <c r="CI43" s="1"/>
      <c r="CJ43" s="1">
        <v>98700</v>
      </c>
      <c r="CK43" s="1"/>
      <c r="CL43" s="1"/>
      <c r="CM43" s="1"/>
      <c r="CN43" s="1"/>
      <c r="CO43" s="1"/>
      <c r="CP43" s="1"/>
      <c r="CQ43" s="1"/>
      <c r="CR43" s="1"/>
      <c r="CS43" s="9">
        <v>106807.5</v>
      </c>
      <c r="CT43" s="1"/>
      <c r="CU43" s="1"/>
      <c r="CV43" s="1"/>
      <c r="CW43" s="1"/>
      <c r="CX43" s="1"/>
      <c r="CY43" s="1"/>
      <c r="CZ43" s="1">
        <v>100327</v>
      </c>
      <c r="DA43" s="1"/>
      <c r="DB43" s="1"/>
      <c r="DC43" s="1">
        <v>100266.66666666667</v>
      </c>
      <c r="DD43" s="1">
        <v>100290</v>
      </c>
      <c r="DE43" s="1"/>
      <c r="DF43" s="1">
        <v>98700</v>
      </c>
      <c r="DG43" s="1"/>
      <c r="DH43" s="1"/>
      <c r="DI43" s="1"/>
      <c r="DJ43" s="1"/>
      <c r="DK43" s="1"/>
      <c r="DL43" s="9">
        <v>100091.75</v>
      </c>
      <c r="DM43" s="1"/>
      <c r="DN43" s="1"/>
      <c r="DO43" s="1">
        <v>130450</v>
      </c>
      <c r="DP43" s="1"/>
      <c r="DQ43" s="1"/>
      <c r="DR43" s="1"/>
      <c r="DS43" s="1"/>
      <c r="DT43" s="1"/>
      <c r="DU43" s="1"/>
      <c r="DV43" s="1">
        <v>112800</v>
      </c>
      <c r="DW43" s="1">
        <v>126900</v>
      </c>
      <c r="DX43" s="1"/>
      <c r="DY43" s="1"/>
      <c r="DZ43" s="1"/>
      <c r="EA43" s="1">
        <v>120633.33333333333</v>
      </c>
      <c r="EB43" s="1"/>
      <c r="EC43" s="1"/>
      <c r="ED43" s="1"/>
      <c r="EE43" s="9">
        <v>122707.14285714286</v>
      </c>
      <c r="EF43" s="1"/>
      <c r="EG43" s="1"/>
      <c r="EH43" s="1"/>
      <c r="EI43" s="1"/>
      <c r="EJ43" s="1">
        <v>164500</v>
      </c>
      <c r="EK43" s="1"/>
      <c r="EL43" s="1"/>
      <c r="EM43" s="1"/>
      <c r="EN43" s="1"/>
      <c r="EO43" s="1">
        <v>108100</v>
      </c>
      <c r="EP43" s="1"/>
      <c r="EQ43" s="1">
        <v>124550</v>
      </c>
      <c r="ER43" s="1">
        <v>141000</v>
      </c>
      <c r="ES43" s="1"/>
      <c r="ET43" s="1">
        <v>89300</v>
      </c>
      <c r="EU43" s="1"/>
      <c r="EV43" s="1"/>
      <c r="EW43" s="1"/>
      <c r="EX43" s="9">
        <v>122871.42857142857</v>
      </c>
      <c r="EY43" s="1"/>
      <c r="EZ43" s="1"/>
      <c r="FA43" s="1">
        <v>94000</v>
      </c>
      <c r="FB43" s="1"/>
      <c r="FC43" s="1"/>
      <c r="FD43" s="1"/>
      <c r="FE43" s="1"/>
      <c r="FF43" s="1"/>
      <c r="FG43" s="1"/>
      <c r="FH43" s="1">
        <v>97525</v>
      </c>
      <c r="FI43" s="1"/>
      <c r="FJ43" s="1">
        <v>94000</v>
      </c>
      <c r="FK43" s="1">
        <v>103400</v>
      </c>
      <c r="FL43" s="1"/>
      <c r="FM43" s="1"/>
      <c r="FN43" s="1"/>
      <c r="FO43" s="1"/>
      <c r="FP43" s="1"/>
      <c r="FQ43" s="9">
        <v>98112.5</v>
      </c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>
        <v>122200</v>
      </c>
      <c r="GE43" s="1"/>
      <c r="GF43" s="1"/>
      <c r="GG43" s="1">
        <v>94000</v>
      </c>
      <c r="GH43" s="1">
        <v>84600</v>
      </c>
      <c r="GI43" s="1"/>
      <c r="GJ43" s="9">
        <v>105750</v>
      </c>
      <c r="GK43" s="1"/>
      <c r="GL43" s="1"/>
      <c r="GM43" s="1">
        <v>103400</v>
      </c>
      <c r="GN43" s="1"/>
      <c r="GO43" s="1"/>
      <c r="GP43" s="1"/>
      <c r="GQ43" s="1">
        <v>94000</v>
      </c>
      <c r="GR43" s="1"/>
      <c r="GS43" s="1"/>
      <c r="GT43" s="1">
        <v>95125.666666666672</v>
      </c>
      <c r="GU43" s="1"/>
      <c r="GV43" s="1">
        <v>84600</v>
      </c>
      <c r="GW43" s="1">
        <v>103400</v>
      </c>
      <c r="GX43" s="1"/>
      <c r="GY43" s="1"/>
      <c r="GZ43" s="1">
        <v>79900</v>
      </c>
      <c r="HA43" s="1"/>
      <c r="HB43" s="1"/>
      <c r="HC43" s="9">
        <v>94954.5</v>
      </c>
      <c r="HD43" s="1"/>
      <c r="HE43" s="1"/>
      <c r="HF43" s="1"/>
      <c r="HG43" s="1"/>
      <c r="HH43" s="1"/>
      <c r="HI43" s="1"/>
      <c r="HJ43" s="1"/>
      <c r="HK43" s="1"/>
      <c r="HL43" s="1">
        <v>117500</v>
      </c>
      <c r="HM43" s="1"/>
      <c r="HN43" s="1">
        <v>108637.14285714286</v>
      </c>
      <c r="HO43" s="1"/>
      <c r="HP43" s="1"/>
      <c r="HQ43" s="1"/>
      <c r="HR43" s="1"/>
      <c r="HS43" s="1">
        <v>75200</v>
      </c>
      <c r="HT43" s="1"/>
      <c r="HU43" s="1"/>
      <c r="HV43" s="9">
        <v>108805</v>
      </c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</row>
    <row r="44" spans="1:249" s="6" customFormat="1" hidden="1" x14ac:dyDescent="0.4">
      <c r="A44" s="6" t="s">
        <v>43</v>
      </c>
      <c r="B44" s="6" t="s">
        <v>25</v>
      </c>
      <c r="C44" s="7"/>
      <c r="D44" s="7"/>
      <c r="E44" s="7">
        <v>30000</v>
      </c>
      <c r="F44" s="7">
        <v>16862.162790697676</v>
      </c>
      <c r="G44" s="7">
        <v>15082.191780821919</v>
      </c>
      <c r="H44" s="7"/>
      <c r="I44" s="7">
        <v>30000</v>
      </c>
      <c r="J44" s="7">
        <v>18603.174603174604</v>
      </c>
      <c r="K44" s="7">
        <v>28500</v>
      </c>
      <c r="L44" s="7">
        <v>36000</v>
      </c>
      <c r="M44" s="7">
        <v>42000</v>
      </c>
      <c r="N44" s="7">
        <v>51200</v>
      </c>
      <c r="O44" s="7">
        <v>21322.580645161292</v>
      </c>
      <c r="P44" s="7"/>
      <c r="Q44" s="7">
        <v>28839.884615384617</v>
      </c>
      <c r="R44" s="7">
        <v>21000</v>
      </c>
      <c r="S44" s="7"/>
      <c r="T44" s="7">
        <v>26400</v>
      </c>
      <c r="U44" s="9">
        <v>21418.185185185186</v>
      </c>
      <c r="V44" s="7"/>
      <c r="W44" s="7"/>
      <c r="X44" s="7"/>
      <c r="Y44" s="7">
        <v>109650</v>
      </c>
      <c r="Z44" s="7">
        <v>27000</v>
      </c>
      <c r="AA44" s="7"/>
      <c r="AB44" s="7"/>
      <c r="AC44" s="7"/>
      <c r="AD44" s="7">
        <v>22800</v>
      </c>
      <c r="AE44" s="7">
        <v>36000</v>
      </c>
      <c r="AF44" s="7"/>
      <c r="AG44" s="7">
        <v>33000</v>
      </c>
      <c r="AH44" s="7">
        <v>30000</v>
      </c>
      <c r="AI44" s="7"/>
      <c r="AJ44" s="7">
        <v>16000</v>
      </c>
      <c r="AK44" s="7">
        <v>24750</v>
      </c>
      <c r="AL44" s="7"/>
      <c r="AM44" s="7"/>
      <c r="AN44" s="9">
        <v>35843.63636363636</v>
      </c>
      <c r="AO44" s="7"/>
      <c r="AP44" s="7"/>
      <c r="AQ44" s="7"/>
      <c r="AR44" s="7"/>
      <c r="AS44" s="7">
        <v>14703.703703703704</v>
      </c>
      <c r="AT44" s="7"/>
      <c r="AU44" s="7">
        <v>29172.799999999999</v>
      </c>
      <c r="AV44" s="7">
        <v>17182.150000000001</v>
      </c>
      <c r="AW44" s="7">
        <v>24000</v>
      </c>
      <c r="AX44" s="7">
        <v>34091</v>
      </c>
      <c r="AY44" s="7">
        <v>13000</v>
      </c>
      <c r="AZ44" s="7">
        <v>36000</v>
      </c>
      <c r="BA44" s="7">
        <v>16000</v>
      </c>
      <c r="BB44" s="7"/>
      <c r="BC44" s="7">
        <v>43200</v>
      </c>
      <c r="BD44" s="7"/>
      <c r="BE44" s="7">
        <v>59550</v>
      </c>
      <c r="BF44" s="7">
        <v>18886.84</v>
      </c>
      <c r="BG44" s="9">
        <v>19864.616352201258</v>
      </c>
      <c r="BH44" s="7"/>
      <c r="BI44" s="7"/>
      <c r="BJ44" s="7">
        <v>323048.46666666667</v>
      </c>
      <c r="BK44" s="7">
        <v>45000</v>
      </c>
      <c r="BL44" s="7"/>
      <c r="BM44" s="7">
        <v>16971.428571428572</v>
      </c>
      <c r="BN44" s="7"/>
      <c r="BO44" s="7">
        <v>24000</v>
      </c>
      <c r="BP44" s="7">
        <v>22050</v>
      </c>
      <c r="BQ44" s="7">
        <v>36000</v>
      </c>
      <c r="BR44" s="7"/>
      <c r="BS44" s="7">
        <v>16000</v>
      </c>
      <c r="BT44" s="7">
        <v>36000</v>
      </c>
      <c r="BU44" s="7">
        <v>21668</v>
      </c>
      <c r="BV44" s="7">
        <v>14600</v>
      </c>
      <c r="BW44" s="7"/>
      <c r="BX44" s="7"/>
      <c r="BY44" s="7">
        <v>18815.36842105263</v>
      </c>
      <c r="BZ44" s="9">
        <v>82716.971830985916</v>
      </c>
      <c r="CA44" s="7"/>
      <c r="CB44" s="7"/>
      <c r="CC44" s="7">
        <v>42000</v>
      </c>
      <c r="CD44" s="7">
        <v>27666.666666666668</v>
      </c>
      <c r="CE44" s="7"/>
      <c r="CF44" s="7"/>
      <c r="CG44" s="7">
        <v>20000</v>
      </c>
      <c r="CH44" s="7">
        <v>39000</v>
      </c>
      <c r="CI44" s="7">
        <v>50000</v>
      </c>
      <c r="CJ44" s="7">
        <v>45000</v>
      </c>
      <c r="CK44" s="7">
        <v>18000</v>
      </c>
      <c r="CL44" s="7">
        <v>40166.666666666664</v>
      </c>
      <c r="CM44" s="7"/>
      <c r="CN44" s="7"/>
      <c r="CO44" s="7">
        <v>27954.5</v>
      </c>
      <c r="CP44" s="7">
        <v>23840.75</v>
      </c>
      <c r="CQ44" s="7">
        <v>19091</v>
      </c>
      <c r="CR44" s="7">
        <v>19200</v>
      </c>
      <c r="CS44" s="9">
        <v>32027.486486486487</v>
      </c>
      <c r="CT44" s="7"/>
      <c r="CU44" s="7"/>
      <c r="CV44" s="7">
        <v>20000</v>
      </c>
      <c r="CW44" s="7"/>
      <c r="CX44" s="7"/>
      <c r="CY44" s="7"/>
      <c r="CZ44" s="7">
        <v>14228.571428571429</v>
      </c>
      <c r="DA44" s="7"/>
      <c r="DB44" s="7">
        <v>24000</v>
      </c>
      <c r="DC44" s="7">
        <v>25500</v>
      </c>
      <c r="DD44" s="7"/>
      <c r="DE44" s="7">
        <v>22000</v>
      </c>
      <c r="DF44" s="7">
        <v>25384.615384615383</v>
      </c>
      <c r="DG44" s="7"/>
      <c r="DH44" s="7">
        <v>68182</v>
      </c>
      <c r="DI44" s="7">
        <v>30094.736842105263</v>
      </c>
      <c r="DJ44" s="7"/>
      <c r="DK44" s="7"/>
      <c r="DL44" s="9">
        <v>24746.617021276597</v>
      </c>
      <c r="DM44" s="7"/>
      <c r="DN44" s="7">
        <v>57000</v>
      </c>
      <c r="DO44" s="7">
        <v>20000</v>
      </c>
      <c r="DP44" s="7">
        <v>43000</v>
      </c>
      <c r="DQ44" s="7">
        <v>32000</v>
      </c>
      <c r="DR44" s="7"/>
      <c r="DS44" s="7">
        <v>111335.02631578948</v>
      </c>
      <c r="DT44" s="7"/>
      <c r="DU44" s="7">
        <v>25727.333333333332</v>
      </c>
      <c r="DV44" s="7">
        <v>27000</v>
      </c>
      <c r="DW44" s="7">
        <v>33000</v>
      </c>
      <c r="DX44" s="7">
        <v>22000</v>
      </c>
      <c r="DY44" s="7">
        <v>20181.81818181818</v>
      </c>
      <c r="DZ44" s="7"/>
      <c r="EA44" s="7">
        <v>19181.81818181818</v>
      </c>
      <c r="EB44" s="7"/>
      <c r="EC44" s="7"/>
      <c r="ED44" s="7">
        <v>45750</v>
      </c>
      <c r="EE44" s="9">
        <v>83700.130281690144</v>
      </c>
      <c r="EF44" s="7"/>
      <c r="EG44" s="7"/>
      <c r="EH44" s="7">
        <v>38500</v>
      </c>
      <c r="EI44" s="7"/>
      <c r="EJ44" s="7">
        <v>30000</v>
      </c>
      <c r="EK44" s="7"/>
      <c r="EL44" s="7">
        <v>30000</v>
      </c>
      <c r="EM44" s="7"/>
      <c r="EN44" s="7">
        <v>27273</v>
      </c>
      <c r="EO44" s="7">
        <v>31312.5</v>
      </c>
      <c r="EP44" s="7">
        <v>27273</v>
      </c>
      <c r="EQ44" s="7"/>
      <c r="ER44" s="7">
        <v>32000</v>
      </c>
      <c r="ES44" s="7"/>
      <c r="ET44" s="7">
        <v>60000</v>
      </c>
      <c r="EU44" s="7">
        <v>34500</v>
      </c>
      <c r="EV44" s="7"/>
      <c r="EW44" s="7">
        <v>36000</v>
      </c>
      <c r="EX44" s="9">
        <v>39929.645161290326</v>
      </c>
      <c r="EY44" s="7"/>
      <c r="EZ44" s="7"/>
      <c r="FA44" s="7">
        <v>44000</v>
      </c>
      <c r="FB44" s="7"/>
      <c r="FC44" s="7">
        <v>34500</v>
      </c>
      <c r="FD44" s="7">
        <v>33000</v>
      </c>
      <c r="FE44" s="7">
        <v>31533.333333333332</v>
      </c>
      <c r="FF44" s="7">
        <v>31500</v>
      </c>
      <c r="FG44" s="7">
        <v>25840</v>
      </c>
      <c r="FH44" s="7">
        <v>24000</v>
      </c>
      <c r="FI44" s="7"/>
      <c r="FJ44" s="7">
        <v>15000</v>
      </c>
      <c r="FK44" s="7">
        <v>38454.666666666664</v>
      </c>
      <c r="FL44" s="7">
        <v>145000</v>
      </c>
      <c r="FM44" s="7">
        <v>30000</v>
      </c>
      <c r="FN44" s="7"/>
      <c r="FO44" s="7"/>
      <c r="FP44" s="7">
        <v>30000</v>
      </c>
      <c r="FQ44" s="9">
        <v>28540.296296296296</v>
      </c>
      <c r="FR44" s="7"/>
      <c r="FS44" s="7"/>
      <c r="FT44" s="7">
        <v>38400</v>
      </c>
      <c r="FU44" s="7">
        <v>20000</v>
      </c>
      <c r="FV44" s="7">
        <v>30000</v>
      </c>
      <c r="FW44" s="7"/>
      <c r="FX44" s="7"/>
      <c r="FY44" s="7"/>
      <c r="FZ44" s="7"/>
      <c r="GA44" s="7"/>
      <c r="GB44" s="7">
        <v>14000</v>
      </c>
      <c r="GC44" s="7">
        <v>33000</v>
      </c>
      <c r="GD44" s="7"/>
      <c r="GE44" s="7"/>
      <c r="GF44" s="7">
        <v>19727.272727272728</v>
      </c>
      <c r="GG44" s="7"/>
      <c r="GH44" s="7">
        <v>36000</v>
      </c>
      <c r="GI44" s="7">
        <v>100000</v>
      </c>
      <c r="GJ44" s="9">
        <v>27117.647058823528</v>
      </c>
      <c r="GK44" s="7"/>
      <c r="GL44" s="7">
        <v>178090.90909090909</v>
      </c>
      <c r="GM44" s="7">
        <v>54000</v>
      </c>
      <c r="GN44" s="7">
        <v>33000</v>
      </c>
      <c r="GO44" s="7">
        <v>15571.428571428571</v>
      </c>
      <c r="GP44" s="7"/>
      <c r="GQ44" s="7"/>
      <c r="GR44" s="7"/>
      <c r="GS44" s="7"/>
      <c r="GT44" s="7">
        <v>36000</v>
      </c>
      <c r="GU44" s="7"/>
      <c r="GV44" s="7">
        <v>45000</v>
      </c>
      <c r="GW44" s="7">
        <v>32000</v>
      </c>
      <c r="GX44" s="7"/>
      <c r="GY44" s="7">
        <v>48000</v>
      </c>
      <c r="GZ44" s="7">
        <v>24000</v>
      </c>
      <c r="HA44" s="7"/>
      <c r="HB44" s="7"/>
      <c r="HC44" s="9">
        <v>72638.888888888891</v>
      </c>
      <c r="HD44" s="7"/>
      <c r="HE44" s="7"/>
      <c r="HF44" s="7"/>
      <c r="HG44" s="7">
        <v>24333.333333333332</v>
      </c>
      <c r="HH44" s="7"/>
      <c r="HI44" s="7"/>
      <c r="HJ44" s="7"/>
      <c r="HK44" s="7"/>
      <c r="HL44" s="7"/>
      <c r="HM44" s="7"/>
      <c r="HN44" s="7"/>
      <c r="HO44" s="7"/>
      <c r="HP44" s="7">
        <v>21227.272727272728</v>
      </c>
      <c r="HQ44" s="7"/>
      <c r="HR44" s="7"/>
      <c r="HS44" s="7"/>
      <c r="HT44" s="7"/>
      <c r="HU44" s="7"/>
      <c r="HV44" s="9">
        <v>21892.857142857141</v>
      </c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</row>
    <row r="45" spans="1:249" hidden="1" x14ac:dyDescent="0.4">
      <c r="A45" t="s">
        <v>48</v>
      </c>
      <c r="B45" t="s">
        <v>34</v>
      </c>
      <c r="C45" s="1">
        <v>210116.56306990882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9">
        <v>210116.56306990882</v>
      </c>
      <c r="V45" s="1">
        <v>202606.50609756098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9">
        <v>202606.50609756098</v>
      </c>
      <c r="AO45" s="1">
        <v>199798.62552301254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9">
        <v>199798.62552301254</v>
      </c>
      <c r="BH45" s="1">
        <v>229650.00151975683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9">
        <v>229650.00151975683</v>
      </c>
      <c r="CA45" s="1">
        <v>226849.44458762885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9">
        <v>226849.44458762885</v>
      </c>
      <c r="CT45" s="1">
        <v>228954.66037735849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9">
        <v>228954.66037735849</v>
      </c>
      <c r="DM45" s="1">
        <v>190518.82407407407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9">
        <v>190518.82407407407</v>
      </c>
      <c r="EF45" s="1">
        <v>191432.04569892472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9">
        <v>191432.04569892472</v>
      </c>
      <c r="EY45" s="1">
        <v>198742.80809399477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v>0</v>
      </c>
      <c r="FF45" s="1">
        <v>0</v>
      </c>
      <c r="FG45" s="1">
        <v>0</v>
      </c>
      <c r="FH45" s="1">
        <v>0</v>
      </c>
      <c r="FI45" s="1">
        <v>0</v>
      </c>
      <c r="FJ45" s="1">
        <v>0</v>
      </c>
      <c r="FK45" s="1">
        <v>0</v>
      </c>
      <c r="FL45" s="1">
        <v>0</v>
      </c>
      <c r="FM45" s="1">
        <v>0</v>
      </c>
      <c r="FN45" s="1">
        <v>0</v>
      </c>
      <c r="FO45" s="1">
        <v>0</v>
      </c>
      <c r="FP45" s="1">
        <v>0</v>
      </c>
      <c r="FQ45" s="9">
        <v>198742.80809399477</v>
      </c>
      <c r="FR45" s="1">
        <v>211547.68644067796</v>
      </c>
      <c r="FS45" s="1">
        <v>0</v>
      </c>
      <c r="FT45" s="1">
        <v>0</v>
      </c>
      <c r="FU45" s="1">
        <v>0</v>
      </c>
      <c r="FV45" s="1">
        <v>0</v>
      </c>
      <c r="FW45" s="1">
        <v>0</v>
      </c>
      <c r="FX45" s="1">
        <v>0</v>
      </c>
      <c r="FY45" s="1">
        <v>0</v>
      </c>
      <c r="FZ45" s="1">
        <v>0</v>
      </c>
      <c r="GA45" s="1">
        <v>0</v>
      </c>
      <c r="GB45" s="1">
        <v>0</v>
      </c>
      <c r="GC45" s="1">
        <v>0</v>
      </c>
      <c r="GD45" s="1">
        <v>0</v>
      </c>
      <c r="GE45" s="1">
        <v>0</v>
      </c>
      <c r="GF45" s="1">
        <v>0</v>
      </c>
      <c r="GG45" s="1">
        <v>0</v>
      </c>
      <c r="GH45" s="1">
        <v>0</v>
      </c>
      <c r="GI45" s="1">
        <v>0</v>
      </c>
      <c r="GJ45" s="9">
        <v>211547.68644067796</v>
      </c>
      <c r="GK45" s="1">
        <v>187230.96953405018</v>
      </c>
      <c r="GL45" s="1">
        <v>0</v>
      </c>
      <c r="GM45" s="1">
        <v>0</v>
      </c>
      <c r="GN45" s="1">
        <v>0</v>
      </c>
      <c r="GO45" s="1">
        <v>0</v>
      </c>
      <c r="GP45" s="1">
        <v>0</v>
      </c>
      <c r="GQ45" s="1">
        <v>0</v>
      </c>
      <c r="GR45" s="1">
        <v>0</v>
      </c>
      <c r="GS45" s="1">
        <v>0</v>
      </c>
      <c r="GT45" s="1">
        <v>0</v>
      </c>
      <c r="GU45" s="1">
        <v>0</v>
      </c>
      <c r="GV45" s="1">
        <v>0</v>
      </c>
      <c r="GW45" s="1">
        <v>0</v>
      </c>
      <c r="GX45" s="1">
        <v>0</v>
      </c>
      <c r="GY45" s="1">
        <v>0</v>
      </c>
      <c r="GZ45" s="1">
        <v>0</v>
      </c>
      <c r="HA45" s="1">
        <v>0</v>
      </c>
      <c r="HB45" s="1">
        <v>0</v>
      </c>
      <c r="HC45" s="9">
        <v>187230.96953405018</v>
      </c>
      <c r="HD45" s="1">
        <v>236054.43425076452</v>
      </c>
      <c r="HE45" s="1">
        <v>0</v>
      </c>
      <c r="HF45" s="1">
        <v>0</v>
      </c>
      <c r="HG45" s="1">
        <v>0</v>
      </c>
      <c r="HH45" s="1">
        <v>0</v>
      </c>
      <c r="HI45" s="1">
        <v>0</v>
      </c>
      <c r="HJ45" s="1">
        <v>0</v>
      </c>
      <c r="HK45" s="1">
        <v>0</v>
      </c>
      <c r="HL45" s="1">
        <v>0</v>
      </c>
      <c r="HM45" s="1">
        <v>0</v>
      </c>
      <c r="HN45" s="1">
        <v>0</v>
      </c>
      <c r="HO45" s="1">
        <v>0</v>
      </c>
      <c r="HP45" s="1">
        <v>0</v>
      </c>
      <c r="HQ45" s="1">
        <v>0</v>
      </c>
      <c r="HR45" s="1">
        <v>0</v>
      </c>
      <c r="HS45" s="1">
        <v>0</v>
      </c>
      <c r="HT45" s="1">
        <v>0</v>
      </c>
      <c r="HU45" s="1">
        <v>0</v>
      </c>
      <c r="HV45" s="9">
        <v>236054.43425076452</v>
      </c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</row>
    <row r="46" spans="1:249" s="6" customFormat="1" hidden="1" x14ac:dyDescent="0.4">
      <c r="A46" s="6" t="s">
        <v>48</v>
      </c>
      <c r="B46" s="6" t="s">
        <v>36</v>
      </c>
      <c r="C46" s="7">
        <v>105273.6065386374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9">
        <v>105273.6065386374</v>
      </c>
      <c r="V46" s="7">
        <v>106812.73530447026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9">
        <v>106812.73530447026</v>
      </c>
      <c r="AO46" s="7">
        <v>101028.51273560876</v>
      </c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9">
        <v>101028.51273560876</v>
      </c>
      <c r="BH46" s="7">
        <v>104724.07526301591</v>
      </c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9">
        <v>104724.07526301591</v>
      </c>
      <c r="CA46" s="7">
        <v>100162.44675540765</v>
      </c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9">
        <v>100162.44675540765</v>
      </c>
      <c r="CT46" s="7">
        <v>104759.13402657423</v>
      </c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9">
        <v>104759.13402657423</v>
      </c>
      <c r="DM46" s="7">
        <v>112469.18427030096</v>
      </c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9">
        <v>112469.18427030096</v>
      </c>
      <c r="EF46" s="7">
        <v>97842.057371992603</v>
      </c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9">
        <v>97842.057371992603</v>
      </c>
      <c r="EY46" s="7">
        <v>101809.94053744998</v>
      </c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9">
        <v>101809.94053744998</v>
      </c>
      <c r="FR46" s="7">
        <v>96356.861698183173</v>
      </c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9">
        <v>96356.861698183173</v>
      </c>
      <c r="GK46" s="7">
        <v>100475.39190667153</v>
      </c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9">
        <v>100475.39190667153</v>
      </c>
      <c r="HD46" s="7">
        <v>98121.844106463876</v>
      </c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9">
        <v>98121.844106463876</v>
      </c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</row>
    <row r="47" spans="1:249" hidden="1" x14ac:dyDescent="0.4">
      <c r="A47" t="s">
        <v>48</v>
      </c>
      <c r="B47" t="s">
        <v>20</v>
      </c>
      <c r="C47" s="1">
        <v>187185.54166666666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9">
        <v>187185.54166666666</v>
      </c>
      <c r="V47" s="1">
        <v>198703.70370370371</v>
      </c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9">
        <v>198703.70370370371</v>
      </c>
      <c r="AO47" s="1">
        <v>183472.72</v>
      </c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9">
        <v>183472.72</v>
      </c>
      <c r="BH47" s="1">
        <v>227143.52631578947</v>
      </c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9">
        <v>227143.52631578947</v>
      </c>
      <c r="CA47" s="1">
        <v>225563.56</v>
      </c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9">
        <v>225563.56</v>
      </c>
      <c r="CT47" s="1">
        <v>181919.13888888888</v>
      </c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9">
        <v>181919.13888888888</v>
      </c>
      <c r="DM47" s="1">
        <v>184526.54166666666</v>
      </c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9">
        <v>184526.54166666666</v>
      </c>
      <c r="EF47" s="1">
        <v>196393.95238095237</v>
      </c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9">
        <v>196393.95238095237</v>
      </c>
      <c r="EY47" s="1">
        <v>186799.41176470587</v>
      </c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9">
        <v>186799.41176470587</v>
      </c>
      <c r="FR47" s="1">
        <v>191620.29411764705</v>
      </c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9">
        <v>191620.29411764705</v>
      </c>
      <c r="GK47" s="1">
        <v>199393.91666666666</v>
      </c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9">
        <v>199393.91666666666</v>
      </c>
      <c r="HD47" s="1">
        <v>203532.9756097561</v>
      </c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9">
        <v>203532.9756097561</v>
      </c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</row>
    <row r="48" spans="1:249" s="6" customFormat="1" hidden="1" x14ac:dyDescent="0.4">
      <c r="A48" s="6" t="s">
        <v>48</v>
      </c>
      <c r="B48" s="6" t="s">
        <v>103</v>
      </c>
      <c r="C48" s="7">
        <v>109390.61421319797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9">
        <v>109390.61421319797</v>
      </c>
      <c r="V48" s="7">
        <v>109490.9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9">
        <v>109490.9</v>
      </c>
      <c r="AO48" s="7">
        <v>100812.0735930736</v>
      </c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9">
        <v>100812.0735930736</v>
      </c>
      <c r="BH48" s="7">
        <v>98356.220930232565</v>
      </c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9">
        <v>98356.220930232565</v>
      </c>
      <c r="CA48" s="7">
        <v>172007.01874999999</v>
      </c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9">
        <v>172007.01874999999</v>
      </c>
      <c r="CT48" s="7">
        <v>152099.66666666666</v>
      </c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9">
        <v>152099.66666666666</v>
      </c>
      <c r="DM48" s="7">
        <v>99465.864197530871</v>
      </c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9">
        <v>99465.864197530871</v>
      </c>
      <c r="EF48" s="7">
        <v>100125.51595744681</v>
      </c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9">
        <v>100125.51595744681</v>
      </c>
      <c r="EY48" s="7">
        <v>96003.692307692312</v>
      </c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9">
        <v>96003.692307692312</v>
      </c>
      <c r="FR48" s="7">
        <v>89264.569767441862</v>
      </c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9">
        <v>89264.569767441862</v>
      </c>
      <c r="GK48" s="7">
        <v>97263.794642857145</v>
      </c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9">
        <v>97263.794642857145</v>
      </c>
      <c r="HD48" s="7">
        <v>115718.9424778761</v>
      </c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9">
        <v>115718.9424778761</v>
      </c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</row>
    <row r="49" spans="1:249" s="6" customFormat="1" x14ac:dyDescent="0.4">
      <c r="A49" s="6" t="s">
        <v>48</v>
      </c>
      <c r="B49" s="6" t="s">
        <v>15</v>
      </c>
      <c r="C49" s="7">
        <v>198292.68292682926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9">
        <v>198292.68292682926</v>
      </c>
      <c r="V49" s="7">
        <v>176800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9">
        <v>176800</v>
      </c>
      <c r="AO49" s="7">
        <v>170810.8108108108</v>
      </c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9">
        <v>170810.8108108108</v>
      </c>
      <c r="BH49" s="7">
        <v>195902.47619047618</v>
      </c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9">
        <v>195902.47619047618</v>
      </c>
      <c r="CA49" s="7">
        <v>236833.33333333334</v>
      </c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9">
        <v>236833.33333333334</v>
      </c>
      <c r="CT49" s="7">
        <v>195071.42857142858</v>
      </c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9">
        <v>195071.42857142858</v>
      </c>
      <c r="DM49" s="7">
        <v>190000</v>
      </c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9">
        <v>190000</v>
      </c>
      <c r="EF49" s="7">
        <v>203000</v>
      </c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9">
        <v>203000</v>
      </c>
      <c r="EY49" s="7">
        <v>199500</v>
      </c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9">
        <v>199500</v>
      </c>
      <c r="FR49" s="7">
        <v>204285.71428571429</v>
      </c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9">
        <v>204285.71428571429</v>
      </c>
      <c r="GK49" s="7">
        <v>200000</v>
      </c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9">
        <v>200000</v>
      </c>
      <c r="HD49" s="7">
        <v>0</v>
      </c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9">
        <v>0</v>
      </c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</row>
    <row r="50" spans="1:249" x14ac:dyDescent="0.4">
      <c r="A50" t="s">
        <v>48</v>
      </c>
      <c r="B50" t="s">
        <v>23</v>
      </c>
      <c r="C50" s="1">
        <v>109263.75917431193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9">
        <v>109263.75917431193</v>
      </c>
      <c r="V50" s="1">
        <v>100702.52848101266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9">
        <v>100702.52848101266</v>
      </c>
      <c r="AO50" s="1">
        <v>108894.545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9">
        <v>108894.545</v>
      </c>
      <c r="BH50" s="1">
        <v>134503.9842519685</v>
      </c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9">
        <v>134503.9842519685</v>
      </c>
      <c r="CA50" s="1">
        <v>100826.86624203822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9">
        <v>100826.86624203822</v>
      </c>
      <c r="CT50" s="1">
        <v>81741.501449275369</v>
      </c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9">
        <v>81741.501449275369</v>
      </c>
      <c r="DM50" s="1">
        <v>100494.78645833333</v>
      </c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9">
        <v>100494.78645833333</v>
      </c>
      <c r="EF50" s="1">
        <v>107428.3664921466</v>
      </c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9">
        <v>107428.3664921466</v>
      </c>
      <c r="EY50" s="1">
        <v>112736.43410852713</v>
      </c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9">
        <v>112736.43410852713</v>
      </c>
      <c r="FR50" s="1">
        <v>154377.76683937825</v>
      </c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9">
        <v>154377.76683937825</v>
      </c>
      <c r="GK50" s="1">
        <v>98215.687285223365</v>
      </c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9">
        <v>98215.687285223365</v>
      </c>
      <c r="HD50" s="1">
        <v>102500</v>
      </c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9">
        <v>102500</v>
      </c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</row>
    <row r="51" spans="1:249" hidden="1" x14ac:dyDescent="0.4">
      <c r="A51" t="s">
        <v>83</v>
      </c>
      <c r="B51" t="s">
        <v>30</v>
      </c>
      <c r="C51">
        <v>0</v>
      </c>
      <c r="U51" s="9">
        <v>0</v>
      </c>
      <c r="V51" s="1">
        <v>0</v>
      </c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9">
        <v>0</v>
      </c>
      <c r="AO51" s="1">
        <v>0</v>
      </c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9">
        <v>0</v>
      </c>
      <c r="BH51" s="1">
        <v>0</v>
      </c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9">
        <v>0</v>
      </c>
      <c r="CA51" s="1">
        <v>0</v>
      </c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9">
        <v>0</v>
      </c>
      <c r="CT51" s="1">
        <v>0</v>
      </c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9">
        <v>0</v>
      </c>
      <c r="DM51" s="1">
        <v>0</v>
      </c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9">
        <v>0</v>
      </c>
      <c r="EF51" s="1">
        <v>0</v>
      </c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9">
        <v>0</v>
      </c>
      <c r="EY51" s="1">
        <v>0</v>
      </c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9">
        <v>0</v>
      </c>
      <c r="FR51" s="1">
        <v>0</v>
      </c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9">
        <v>0</v>
      </c>
      <c r="GK51" s="1">
        <v>0</v>
      </c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9">
        <v>0</v>
      </c>
      <c r="HD51" s="1">
        <v>0</v>
      </c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9">
        <v>0</v>
      </c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</row>
    <row r="52" spans="1:249" hidden="1" x14ac:dyDescent="0.4">
      <c r="A52" t="s">
        <v>48</v>
      </c>
      <c r="B52" t="s">
        <v>104</v>
      </c>
      <c r="C52">
        <v>327500</v>
      </c>
      <c r="U52" s="9">
        <v>327500</v>
      </c>
      <c r="V52" s="1">
        <v>205871</v>
      </c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9">
        <v>205871</v>
      </c>
      <c r="AO52" s="1">
        <v>180681.75</v>
      </c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9">
        <v>180681.75</v>
      </c>
      <c r="BH52" s="1">
        <v>186666.66666666666</v>
      </c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9">
        <v>186666.66666666666</v>
      </c>
      <c r="CA52" s="1">
        <v>144022.22222222222</v>
      </c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9">
        <v>144022.22222222222</v>
      </c>
      <c r="CT52" s="1">
        <v>232500</v>
      </c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9">
        <v>232500</v>
      </c>
      <c r="DM52" s="1">
        <v>191250</v>
      </c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9">
        <v>191250</v>
      </c>
      <c r="EF52" s="1">
        <v>198000</v>
      </c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9">
        <v>198000</v>
      </c>
      <c r="EY52" s="1">
        <v>230000</v>
      </c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9">
        <v>230000</v>
      </c>
      <c r="FR52" s="1">
        <v>180000</v>
      </c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9">
        <v>180000</v>
      </c>
      <c r="GK52" s="1">
        <v>185000</v>
      </c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9">
        <v>185000</v>
      </c>
      <c r="HD52" s="1">
        <v>0</v>
      </c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9">
        <v>0</v>
      </c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</row>
    <row r="53" spans="1:249" hidden="1" x14ac:dyDescent="0.4">
      <c r="A53" t="s">
        <v>48</v>
      </c>
      <c r="B53" t="s">
        <v>26</v>
      </c>
      <c r="C53">
        <v>87219.431034482754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9">
        <v>87219.431034482754</v>
      </c>
      <c r="V53" s="1">
        <v>62402.970149253728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9">
        <v>62402.970149253728</v>
      </c>
      <c r="AO53" s="1">
        <v>99671.875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9">
        <v>99671.875</v>
      </c>
      <c r="BH53" s="1">
        <v>151827.04878048779</v>
      </c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9">
        <v>151827.04878048779</v>
      </c>
      <c r="CA53" s="1">
        <v>70039.690140845065</v>
      </c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9">
        <v>70039.690140845065</v>
      </c>
      <c r="CT53" s="1">
        <v>101272.66666666667</v>
      </c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9">
        <v>101272.66666666667</v>
      </c>
      <c r="DM53" s="1">
        <v>114556.61904761905</v>
      </c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9">
        <v>114556.61904761905</v>
      </c>
      <c r="EF53" s="1">
        <v>112916.66666666667</v>
      </c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9">
        <v>112916.66666666667</v>
      </c>
      <c r="EY53" s="1">
        <v>94467.068965517246</v>
      </c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9">
        <v>94467.068965517246</v>
      </c>
      <c r="FR53" s="1">
        <v>89944.506493506487</v>
      </c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9">
        <v>89944.506493506487</v>
      </c>
      <c r="GK53" s="1">
        <v>92736.650793650799</v>
      </c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9">
        <v>92736.650793650799</v>
      </c>
      <c r="HD53" s="1">
        <v>104290.88</v>
      </c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9">
        <v>104290.88</v>
      </c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</row>
    <row r="54" spans="1:249" hidden="1" x14ac:dyDescent="0.4">
      <c r="B54" t="s">
        <v>41</v>
      </c>
      <c r="C54">
        <v>106693.51878270104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9">
        <v>106693.51878270104</v>
      </c>
      <c r="V54" s="1">
        <v>106693.51878270104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9">
        <f t="shared" ref="AN54:CY55" si="0">U15</f>
        <v>100650.29675994109</v>
      </c>
      <c r="AO54" s="1">
        <f t="shared" si="0"/>
        <v>101476.26698057044</v>
      </c>
      <c r="AP54" s="1">
        <f t="shared" si="0"/>
        <v>0</v>
      </c>
      <c r="AQ54" s="1">
        <f t="shared" si="0"/>
        <v>0</v>
      </c>
      <c r="AR54" s="1">
        <f t="shared" si="0"/>
        <v>0</v>
      </c>
      <c r="AS54" s="1">
        <f t="shared" si="0"/>
        <v>0</v>
      </c>
      <c r="AT54" s="1">
        <f t="shared" si="0"/>
        <v>0</v>
      </c>
      <c r="AU54" s="1">
        <f t="shared" si="0"/>
        <v>0</v>
      </c>
      <c r="AV54" s="1">
        <f t="shared" si="0"/>
        <v>0</v>
      </c>
      <c r="AW54" s="1">
        <f t="shared" si="0"/>
        <v>0</v>
      </c>
      <c r="AX54" s="1">
        <f t="shared" si="0"/>
        <v>0</v>
      </c>
      <c r="AY54" s="1">
        <f t="shared" si="0"/>
        <v>0</v>
      </c>
      <c r="AZ54" s="1">
        <f t="shared" si="0"/>
        <v>0</v>
      </c>
      <c r="BA54" s="1">
        <f t="shared" si="0"/>
        <v>0</v>
      </c>
      <c r="BB54" s="1">
        <f t="shared" si="0"/>
        <v>0</v>
      </c>
      <c r="BC54" s="1">
        <f t="shared" si="0"/>
        <v>0</v>
      </c>
      <c r="BD54" s="1">
        <f t="shared" si="0"/>
        <v>0</v>
      </c>
      <c r="BE54" s="1">
        <f t="shared" si="0"/>
        <v>0</v>
      </c>
      <c r="BF54" s="1">
        <f t="shared" si="0"/>
        <v>0</v>
      </c>
      <c r="BG54" s="9">
        <f t="shared" si="0"/>
        <v>101476.26698057044</v>
      </c>
      <c r="BH54" s="1">
        <f t="shared" si="0"/>
        <v>101429.97759909644</v>
      </c>
      <c r="BI54" s="1">
        <f t="shared" si="0"/>
        <v>0</v>
      </c>
      <c r="BJ54" s="1">
        <f t="shared" si="0"/>
        <v>0</v>
      </c>
      <c r="BK54" s="1">
        <f t="shared" si="0"/>
        <v>0</v>
      </c>
      <c r="BL54" s="1">
        <f t="shared" si="0"/>
        <v>0</v>
      </c>
      <c r="BM54" s="1">
        <f t="shared" si="0"/>
        <v>0</v>
      </c>
      <c r="BN54" s="1">
        <f t="shared" si="0"/>
        <v>0</v>
      </c>
      <c r="BO54" s="1">
        <f t="shared" si="0"/>
        <v>0</v>
      </c>
      <c r="BP54" s="1">
        <f t="shared" si="0"/>
        <v>0</v>
      </c>
      <c r="BQ54" s="1">
        <f t="shared" si="0"/>
        <v>0</v>
      </c>
      <c r="BR54" s="1">
        <f t="shared" si="0"/>
        <v>0</v>
      </c>
      <c r="BS54" s="1">
        <f t="shared" si="0"/>
        <v>0</v>
      </c>
      <c r="BT54" s="1">
        <f t="shared" si="0"/>
        <v>0</v>
      </c>
      <c r="BU54" s="1">
        <f t="shared" si="0"/>
        <v>0</v>
      </c>
      <c r="BV54" s="1">
        <f t="shared" si="0"/>
        <v>0</v>
      </c>
      <c r="BW54" s="1">
        <f t="shared" si="0"/>
        <v>0</v>
      </c>
      <c r="BX54" s="1">
        <f t="shared" si="0"/>
        <v>0</v>
      </c>
      <c r="BY54" s="1">
        <f t="shared" si="0"/>
        <v>0</v>
      </c>
      <c r="BZ54" s="9">
        <f t="shared" si="0"/>
        <v>101429.97759909644</v>
      </c>
      <c r="CA54" s="1">
        <f t="shared" si="0"/>
        <v>101947.40627673225</v>
      </c>
      <c r="CB54" s="1">
        <f t="shared" si="0"/>
        <v>0</v>
      </c>
      <c r="CC54" s="1">
        <f t="shared" si="0"/>
        <v>0</v>
      </c>
      <c r="CD54" s="1">
        <f t="shared" si="0"/>
        <v>0</v>
      </c>
      <c r="CE54" s="1">
        <f t="shared" si="0"/>
        <v>0</v>
      </c>
      <c r="CF54" s="1">
        <f t="shared" si="0"/>
        <v>0</v>
      </c>
      <c r="CG54" s="1">
        <f t="shared" si="0"/>
        <v>0</v>
      </c>
      <c r="CH54" s="1">
        <f t="shared" si="0"/>
        <v>0</v>
      </c>
      <c r="CI54" s="1">
        <f t="shared" si="0"/>
        <v>0</v>
      </c>
      <c r="CJ54" s="1">
        <f t="shared" si="0"/>
        <v>0</v>
      </c>
      <c r="CK54" s="1">
        <f t="shared" si="0"/>
        <v>0</v>
      </c>
      <c r="CL54" s="1">
        <f t="shared" si="0"/>
        <v>0</v>
      </c>
      <c r="CM54" s="1">
        <f t="shared" si="0"/>
        <v>0</v>
      </c>
      <c r="CN54" s="1">
        <f t="shared" si="0"/>
        <v>0</v>
      </c>
      <c r="CO54" s="1">
        <f t="shared" si="0"/>
        <v>0</v>
      </c>
      <c r="CP54" s="1">
        <f t="shared" si="0"/>
        <v>0</v>
      </c>
      <c r="CQ54" s="1">
        <f t="shared" si="0"/>
        <v>0</v>
      </c>
      <c r="CR54" s="1">
        <f t="shared" si="0"/>
        <v>0</v>
      </c>
      <c r="CS54" s="9">
        <f t="shared" si="0"/>
        <v>101947.40627673225</v>
      </c>
      <c r="CT54" s="1">
        <f t="shared" si="0"/>
        <v>101674.29494062574</v>
      </c>
      <c r="CU54" s="1">
        <f t="shared" si="0"/>
        <v>0</v>
      </c>
      <c r="CV54" s="1">
        <f t="shared" si="0"/>
        <v>0</v>
      </c>
      <c r="CW54" s="1">
        <f t="shared" si="0"/>
        <v>0</v>
      </c>
      <c r="CX54" s="1">
        <f t="shared" si="0"/>
        <v>0</v>
      </c>
      <c r="CY54" s="1">
        <f t="shared" si="0"/>
        <v>0</v>
      </c>
      <c r="CZ54" s="1">
        <f t="shared" ref="CZ54:FK55" si="1">CG15</f>
        <v>0</v>
      </c>
      <c r="DA54" s="1">
        <f t="shared" si="1"/>
        <v>0</v>
      </c>
      <c r="DB54" s="1">
        <f t="shared" si="1"/>
        <v>0</v>
      </c>
      <c r="DC54" s="1">
        <f t="shared" si="1"/>
        <v>0</v>
      </c>
      <c r="DD54" s="1">
        <f t="shared" si="1"/>
        <v>0</v>
      </c>
      <c r="DE54" s="1">
        <f t="shared" si="1"/>
        <v>0</v>
      </c>
      <c r="DF54" s="1">
        <f t="shared" si="1"/>
        <v>0</v>
      </c>
      <c r="DG54" s="1">
        <f t="shared" si="1"/>
        <v>0</v>
      </c>
      <c r="DH54" s="1">
        <f t="shared" si="1"/>
        <v>0</v>
      </c>
      <c r="DI54" s="1">
        <f t="shared" si="1"/>
        <v>0</v>
      </c>
      <c r="DJ54" s="1">
        <f t="shared" si="1"/>
        <v>0</v>
      </c>
      <c r="DK54" s="1">
        <f t="shared" si="1"/>
        <v>0</v>
      </c>
      <c r="DL54" s="9">
        <f t="shared" si="1"/>
        <v>101674.29494062574</v>
      </c>
      <c r="DM54" s="1">
        <f t="shared" si="1"/>
        <v>101242.27398382578</v>
      </c>
      <c r="DN54" s="1">
        <f t="shared" si="1"/>
        <v>0</v>
      </c>
      <c r="DO54" s="1">
        <f t="shared" si="1"/>
        <v>0</v>
      </c>
      <c r="DP54" s="1">
        <f t="shared" si="1"/>
        <v>0</v>
      </c>
      <c r="DQ54" s="1">
        <f t="shared" si="1"/>
        <v>0</v>
      </c>
      <c r="DR54" s="1">
        <f t="shared" si="1"/>
        <v>0</v>
      </c>
      <c r="DS54" s="1">
        <f t="shared" si="1"/>
        <v>0</v>
      </c>
      <c r="DT54" s="1">
        <f t="shared" si="1"/>
        <v>0</v>
      </c>
      <c r="DU54" s="1">
        <f t="shared" si="1"/>
        <v>0</v>
      </c>
      <c r="DV54" s="1">
        <f t="shared" si="1"/>
        <v>0</v>
      </c>
      <c r="DW54" s="1">
        <f t="shared" si="1"/>
        <v>0</v>
      </c>
      <c r="DX54" s="1">
        <f t="shared" si="1"/>
        <v>0</v>
      </c>
      <c r="DY54" s="1">
        <f t="shared" si="1"/>
        <v>0</v>
      </c>
      <c r="DZ54" s="1">
        <f t="shared" si="1"/>
        <v>0</v>
      </c>
      <c r="EA54" s="1">
        <f t="shared" si="1"/>
        <v>0</v>
      </c>
      <c r="EB54" s="1">
        <f t="shared" si="1"/>
        <v>0</v>
      </c>
      <c r="EC54" s="1">
        <f t="shared" si="1"/>
        <v>0</v>
      </c>
      <c r="ED54" s="1">
        <f t="shared" si="1"/>
        <v>0</v>
      </c>
      <c r="EE54" s="9">
        <f t="shared" si="1"/>
        <v>101242.27398382578</v>
      </c>
      <c r="EF54" s="1">
        <f t="shared" si="1"/>
        <v>101261.2961683584</v>
      </c>
      <c r="EG54" s="1">
        <f t="shared" si="1"/>
        <v>0</v>
      </c>
      <c r="EH54" s="1">
        <f t="shared" si="1"/>
        <v>0</v>
      </c>
      <c r="EI54" s="1">
        <f t="shared" si="1"/>
        <v>0</v>
      </c>
      <c r="EJ54" s="1">
        <f t="shared" si="1"/>
        <v>0</v>
      </c>
      <c r="EK54" s="1">
        <f t="shared" si="1"/>
        <v>0</v>
      </c>
      <c r="EL54" s="1">
        <f t="shared" si="1"/>
        <v>0</v>
      </c>
      <c r="EM54" s="1">
        <f t="shared" si="1"/>
        <v>0</v>
      </c>
      <c r="EN54" s="1">
        <f t="shared" si="1"/>
        <v>0</v>
      </c>
      <c r="EO54" s="1">
        <f t="shared" si="1"/>
        <v>0</v>
      </c>
      <c r="EP54" s="1">
        <f t="shared" si="1"/>
        <v>0</v>
      </c>
      <c r="EQ54" s="1">
        <f t="shared" si="1"/>
        <v>0</v>
      </c>
      <c r="ER54" s="1">
        <f t="shared" si="1"/>
        <v>0</v>
      </c>
      <c r="ES54" s="1">
        <f t="shared" si="1"/>
        <v>0</v>
      </c>
      <c r="ET54" s="1">
        <f t="shared" si="1"/>
        <v>0</v>
      </c>
      <c r="EU54" s="1">
        <f t="shared" si="1"/>
        <v>0</v>
      </c>
      <c r="EV54" s="1">
        <f t="shared" si="1"/>
        <v>0</v>
      </c>
      <c r="EW54" s="1">
        <f t="shared" si="1"/>
        <v>0</v>
      </c>
      <c r="EX54" s="9">
        <f t="shared" si="1"/>
        <v>101261.2961683584</v>
      </c>
      <c r="EY54" s="1">
        <f t="shared" si="1"/>
        <v>101523.96105070056</v>
      </c>
      <c r="EZ54" s="1">
        <f t="shared" si="1"/>
        <v>0</v>
      </c>
      <c r="FA54" s="1">
        <f t="shared" si="1"/>
        <v>0</v>
      </c>
      <c r="FB54" s="1">
        <f t="shared" si="1"/>
        <v>0</v>
      </c>
      <c r="FC54" s="1">
        <f t="shared" si="1"/>
        <v>0</v>
      </c>
      <c r="FD54" s="1">
        <f t="shared" si="1"/>
        <v>0</v>
      </c>
      <c r="FE54" s="1">
        <f t="shared" si="1"/>
        <v>0</v>
      </c>
      <c r="FF54" s="1">
        <f t="shared" si="1"/>
        <v>0</v>
      </c>
      <c r="FG54" s="1">
        <f t="shared" si="1"/>
        <v>0</v>
      </c>
      <c r="FH54" s="1">
        <f t="shared" si="1"/>
        <v>0</v>
      </c>
      <c r="FI54" s="1">
        <f t="shared" si="1"/>
        <v>0</v>
      </c>
      <c r="FJ54" s="1">
        <f t="shared" si="1"/>
        <v>0</v>
      </c>
      <c r="FK54" s="1">
        <f t="shared" si="1"/>
        <v>0</v>
      </c>
      <c r="FL54" s="1">
        <f t="shared" ref="FL54:HV55" si="2">ES15</f>
        <v>0</v>
      </c>
      <c r="FM54" s="1">
        <f t="shared" si="2"/>
        <v>0</v>
      </c>
      <c r="FN54" s="1">
        <f t="shared" si="2"/>
        <v>0</v>
      </c>
      <c r="FO54" s="1">
        <f t="shared" si="2"/>
        <v>0</v>
      </c>
      <c r="FP54" s="1">
        <f t="shared" si="2"/>
        <v>0</v>
      </c>
      <c r="FQ54" s="9">
        <f t="shared" si="2"/>
        <v>101523.96105070056</v>
      </c>
      <c r="FR54" s="1">
        <f t="shared" si="2"/>
        <v>101607.8420102477</v>
      </c>
      <c r="FS54" s="1">
        <f t="shared" si="2"/>
        <v>0</v>
      </c>
      <c r="FT54" s="1">
        <f t="shared" si="2"/>
        <v>0</v>
      </c>
      <c r="FU54" s="1">
        <f t="shared" si="2"/>
        <v>0</v>
      </c>
      <c r="FV54" s="1">
        <f t="shared" si="2"/>
        <v>0</v>
      </c>
      <c r="FW54" s="1">
        <f t="shared" si="2"/>
        <v>0</v>
      </c>
      <c r="FX54" s="1">
        <f t="shared" si="2"/>
        <v>0</v>
      </c>
      <c r="FY54" s="1">
        <f t="shared" si="2"/>
        <v>0</v>
      </c>
      <c r="FZ54" s="1">
        <f t="shared" si="2"/>
        <v>0</v>
      </c>
      <c r="GA54" s="1">
        <f t="shared" si="2"/>
        <v>0</v>
      </c>
      <c r="GB54" s="1">
        <f t="shared" si="2"/>
        <v>0</v>
      </c>
      <c r="GC54" s="1">
        <f t="shared" si="2"/>
        <v>0</v>
      </c>
      <c r="GD54" s="1">
        <f t="shared" si="2"/>
        <v>0</v>
      </c>
      <c r="GE54" s="1">
        <f t="shared" si="2"/>
        <v>0</v>
      </c>
      <c r="GF54" s="1">
        <f t="shared" si="2"/>
        <v>0</v>
      </c>
      <c r="GG54" s="1">
        <f t="shared" si="2"/>
        <v>0</v>
      </c>
      <c r="GH54" s="1">
        <f t="shared" si="2"/>
        <v>0</v>
      </c>
      <c r="GI54" s="1">
        <f t="shared" si="2"/>
        <v>0</v>
      </c>
      <c r="GJ54" s="9">
        <f t="shared" si="2"/>
        <v>101607.8420102477</v>
      </c>
      <c r="GK54" s="1">
        <f t="shared" si="2"/>
        <v>101984.37713433313</v>
      </c>
      <c r="GL54" s="1">
        <f t="shared" si="2"/>
        <v>0</v>
      </c>
      <c r="GM54" s="1">
        <f t="shared" si="2"/>
        <v>0</v>
      </c>
      <c r="GN54" s="1">
        <f t="shared" si="2"/>
        <v>0</v>
      </c>
      <c r="GO54" s="1">
        <f t="shared" si="2"/>
        <v>0</v>
      </c>
      <c r="GP54" s="1">
        <f t="shared" si="2"/>
        <v>0</v>
      </c>
      <c r="GQ54" s="1">
        <f t="shared" si="2"/>
        <v>0</v>
      </c>
      <c r="GR54" s="1">
        <f t="shared" si="2"/>
        <v>0</v>
      </c>
      <c r="GS54" s="1">
        <f t="shared" si="2"/>
        <v>0</v>
      </c>
      <c r="GT54" s="1">
        <f t="shared" si="2"/>
        <v>0</v>
      </c>
      <c r="GU54" s="1">
        <f t="shared" si="2"/>
        <v>0</v>
      </c>
      <c r="GV54" s="1">
        <f t="shared" si="2"/>
        <v>0</v>
      </c>
      <c r="GW54" s="1">
        <f t="shared" si="2"/>
        <v>0</v>
      </c>
      <c r="GX54" s="1">
        <f t="shared" si="2"/>
        <v>0</v>
      </c>
      <c r="GY54" s="1">
        <f t="shared" si="2"/>
        <v>0</v>
      </c>
      <c r="GZ54" s="1">
        <f t="shared" si="2"/>
        <v>0</v>
      </c>
      <c r="HA54" s="1">
        <f t="shared" si="2"/>
        <v>0</v>
      </c>
      <c r="HB54" s="1">
        <f t="shared" si="2"/>
        <v>0</v>
      </c>
      <c r="HC54" s="9">
        <f t="shared" si="2"/>
        <v>101984.37713433313</v>
      </c>
      <c r="HD54" s="1">
        <f t="shared" si="2"/>
        <v>102055.22940251991</v>
      </c>
      <c r="HE54" s="1">
        <f t="shared" si="2"/>
        <v>0</v>
      </c>
      <c r="HF54" s="1">
        <f t="shared" si="2"/>
        <v>0</v>
      </c>
      <c r="HG54" s="1">
        <f t="shared" si="2"/>
        <v>0</v>
      </c>
      <c r="HH54" s="1">
        <f t="shared" si="2"/>
        <v>0</v>
      </c>
      <c r="HI54" s="1">
        <f t="shared" si="2"/>
        <v>0</v>
      </c>
      <c r="HJ54" s="1">
        <f t="shared" si="2"/>
        <v>0</v>
      </c>
      <c r="HK54" s="1">
        <f t="shared" si="2"/>
        <v>0</v>
      </c>
      <c r="HL54" s="1">
        <f t="shared" si="2"/>
        <v>0</v>
      </c>
      <c r="HM54" s="1">
        <f t="shared" si="2"/>
        <v>0</v>
      </c>
      <c r="HN54" s="1">
        <f t="shared" si="2"/>
        <v>0</v>
      </c>
      <c r="HO54" s="1">
        <f t="shared" si="2"/>
        <v>0</v>
      </c>
      <c r="HP54" s="1">
        <f t="shared" si="2"/>
        <v>0</v>
      </c>
      <c r="HQ54" s="1">
        <f t="shared" si="2"/>
        <v>0</v>
      </c>
      <c r="HR54" s="1">
        <f t="shared" si="2"/>
        <v>0</v>
      </c>
      <c r="HS54" s="1">
        <f t="shared" si="2"/>
        <v>0</v>
      </c>
      <c r="HT54" s="1">
        <f t="shared" si="2"/>
        <v>0</v>
      </c>
      <c r="HU54" s="1">
        <f t="shared" si="2"/>
        <v>0</v>
      </c>
      <c r="HV54" s="9">
        <f t="shared" si="2"/>
        <v>102055.22940251991</v>
      </c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</row>
    <row r="55" spans="1:249" hidden="1" x14ac:dyDescent="0.4">
      <c r="B55" t="s">
        <v>40</v>
      </c>
      <c r="C55">
        <v>211125.63503427943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9">
        <v>211125.63503427943</v>
      </c>
      <c r="V55" s="1">
        <v>211125.63503427943</v>
      </c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9">
        <f t="shared" si="0"/>
        <v>199872.98428731761</v>
      </c>
      <c r="AO55" s="1">
        <f t="shared" si="0"/>
        <v>202949.16158612142</v>
      </c>
      <c r="AP55" s="1">
        <f t="shared" si="0"/>
        <v>0</v>
      </c>
      <c r="AQ55" s="1">
        <f t="shared" si="0"/>
        <v>0</v>
      </c>
      <c r="AR55" s="1">
        <f t="shared" si="0"/>
        <v>0</v>
      </c>
      <c r="AS55" s="1">
        <f t="shared" si="0"/>
        <v>0</v>
      </c>
      <c r="AT55" s="1">
        <f t="shared" si="0"/>
        <v>0</v>
      </c>
      <c r="AU55" s="1">
        <f t="shared" si="0"/>
        <v>0</v>
      </c>
      <c r="AV55" s="1">
        <f t="shared" si="0"/>
        <v>0</v>
      </c>
      <c r="AW55" s="1">
        <f t="shared" si="0"/>
        <v>0</v>
      </c>
      <c r="AX55" s="1">
        <f t="shared" si="0"/>
        <v>0</v>
      </c>
      <c r="AY55" s="1">
        <f t="shared" si="0"/>
        <v>0</v>
      </c>
      <c r="AZ55" s="1">
        <f t="shared" si="0"/>
        <v>0</v>
      </c>
      <c r="BA55" s="1">
        <f t="shared" si="0"/>
        <v>0</v>
      </c>
      <c r="BB55" s="1">
        <f t="shared" si="0"/>
        <v>0</v>
      </c>
      <c r="BC55" s="1">
        <f t="shared" si="0"/>
        <v>0</v>
      </c>
      <c r="BD55" s="1">
        <f t="shared" si="0"/>
        <v>0</v>
      </c>
      <c r="BE55" s="1">
        <f t="shared" si="0"/>
        <v>0</v>
      </c>
      <c r="BF55" s="1">
        <f t="shared" si="0"/>
        <v>0</v>
      </c>
      <c r="BG55" s="9">
        <f t="shared" si="0"/>
        <v>202949.16158612142</v>
      </c>
      <c r="BH55" s="1">
        <f t="shared" si="0"/>
        <v>202795.95660559306</v>
      </c>
      <c r="BI55" s="1">
        <f t="shared" si="0"/>
        <v>0</v>
      </c>
      <c r="BJ55" s="1">
        <f t="shared" si="0"/>
        <v>0</v>
      </c>
      <c r="BK55" s="1">
        <f t="shared" si="0"/>
        <v>0</v>
      </c>
      <c r="BL55" s="1">
        <f t="shared" si="0"/>
        <v>0</v>
      </c>
      <c r="BM55" s="1">
        <f t="shared" si="0"/>
        <v>0</v>
      </c>
      <c r="BN55" s="1">
        <f t="shared" si="0"/>
        <v>0</v>
      </c>
      <c r="BO55" s="1">
        <f t="shared" si="0"/>
        <v>0</v>
      </c>
      <c r="BP55" s="1">
        <f t="shared" si="0"/>
        <v>0</v>
      </c>
      <c r="BQ55" s="1">
        <f t="shared" si="0"/>
        <v>0</v>
      </c>
      <c r="BR55" s="1">
        <f t="shared" si="0"/>
        <v>0</v>
      </c>
      <c r="BS55" s="1">
        <f t="shared" si="0"/>
        <v>0</v>
      </c>
      <c r="BT55" s="1">
        <f t="shared" si="0"/>
        <v>0</v>
      </c>
      <c r="BU55" s="1">
        <f t="shared" si="0"/>
        <v>0</v>
      </c>
      <c r="BV55" s="1">
        <f t="shared" si="0"/>
        <v>0</v>
      </c>
      <c r="BW55" s="1">
        <f t="shared" si="0"/>
        <v>0</v>
      </c>
      <c r="BX55" s="1">
        <f t="shared" si="0"/>
        <v>0</v>
      </c>
      <c r="BY55" s="1">
        <f t="shared" si="0"/>
        <v>0</v>
      </c>
      <c r="BZ55" s="9">
        <f t="shared" si="0"/>
        <v>202795.95660559306</v>
      </c>
      <c r="CA55" s="1">
        <f t="shared" si="0"/>
        <v>203116.0965814009</v>
      </c>
      <c r="CB55" s="1">
        <f t="shared" si="0"/>
        <v>0</v>
      </c>
      <c r="CC55" s="1">
        <f t="shared" si="0"/>
        <v>0</v>
      </c>
      <c r="CD55" s="1">
        <f t="shared" si="0"/>
        <v>0</v>
      </c>
      <c r="CE55" s="1">
        <f t="shared" si="0"/>
        <v>0</v>
      </c>
      <c r="CF55" s="1">
        <f t="shared" si="0"/>
        <v>0</v>
      </c>
      <c r="CG55" s="1">
        <f t="shared" si="0"/>
        <v>0</v>
      </c>
      <c r="CH55" s="1">
        <f t="shared" si="0"/>
        <v>0</v>
      </c>
      <c r="CI55" s="1">
        <f t="shared" si="0"/>
        <v>0</v>
      </c>
      <c r="CJ55" s="1">
        <f t="shared" si="0"/>
        <v>0</v>
      </c>
      <c r="CK55" s="1">
        <f t="shared" si="0"/>
        <v>0</v>
      </c>
      <c r="CL55" s="1">
        <f t="shared" si="0"/>
        <v>0</v>
      </c>
      <c r="CM55" s="1">
        <f t="shared" si="0"/>
        <v>0</v>
      </c>
      <c r="CN55" s="1">
        <f t="shared" si="0"/>
        <v>0</v>
      </c>
      <c r="CO55" s="1">
        <f t="shared" si="0"/>
        <v>0</v>
      </c>
      <c r="CP55" s="1">
        <f t="shared" si="0"/>
        <v>0</v>
      </c>
      <c r="CQ55" s="1">
        <f t="shared" si="0"/>
        <v>0</v>
      </c>
      <c r="CR55" s="1">
        <f t="shared" si="0"/>
        <v>0</v>
      </c>
      <c r="CS55" s="9">
        <f t="shared" si="0"/>
        <v>203116.0965814009</v>
      </c>
      <c r="CT55" s="1">
        <f t="shared" si="0"/>
        <v>203469.98705616911</v>
      </c>
      <c r="CU55" s="1">
        <f t="shared" si="0"/>
        <v>0</v>
      </c>
      <c r="CV55" s="1">
        <f t="shared" si="0"/>
        <v>0</v>
      </c>
      <c r="CW55" s="1">
        <f t="shared" si="0"/>
        <v>0</v>
      </c>
      <c r="CX55" s="1">
        <f t="shared" si="0"/>
        <v>0</v>
      </c>
      <c r="CY55" s="1">
        <f t="shared" si="0"/>
        <v>0</v>
      </c>
      <c r="CZ55" s="1">
        <f t="shared" si="1"/>
        <v>0</v>
      </c>
      <c r="DA55" s="1">
        <f t="shared" si="1"/>
        <v>0</v>
      </c>
      <c r="DB55" s="1">
        <f t="shared" si="1"/>
        <v>0</v>
      </c>
      <c r="DC55" s="1">
        <f t="shared" si="1"/>
        <v>0</v>
      </c>
      <c r="DD55" s="1">
        <f t="shared" si="1"/>
        <v>0</v>
      </c>
      <c r="DE55" s="1">
        <f t="shared" si="1"/>
        <v>0</v>
      </c>
      <c r="DF55" s="1">
        <f t="shared" si="1"/>
        <v>0</v>
      </c>
      <c r="DG55" s="1">
        <f t="shared" si="1"/>
        <v>0</v>
      </c>
      <c r="DH55" s="1">
        <f t="shared" si="1"/>
        <v>0</v>
      </c>
      <c r="DI55" s="1">
        <f t="shared" si="1"/>
        <v>0</v>
      </c>
      <c r="DJ55" s="1">
        <f t="shared" si="1"/>
        <v>0</v>
      </c>
      <c r="DK55" s="1">
        <f t="shared" si="1"/>
        <v>0</v>
      </c>
      <c r="DL55" s="9">
        <f t="shared" si="1"/>
        <v>203469.98705616911</v>
      </c>
      <c r="DM55" s="1">
        <f t="shared" si="1"/>
        <v>204554.27416873744</v>
      </c>
      <c r="DN55" s="1">
        <f t="shared" si="1"/>
        <v>0</v>
      </c>
      <c r="DO55" s="1">
        <f t="shared" si="1"/>
        <v>0</v>
      </c>
      <c r="DP55" s="1">
        <f t="shared" si="1"/>
        <v>0</v>
      </c>
      <c r="DQ55" s="1">
        <f t="shared" si="1"/>
        <v>0</v>
      </c>
      <c r="DR55" s="1">
        <f t="shared" si="1"/>
        <v>0</v>
      </c>
      <c r="DS55" s="1">
        <f t="shared" si="1"/>
        <v>0</v>
      </c>
      <c r="DT55" s="1">
        <f t="shared" si="1"/>
        <v>0</v>
      </c>
      <c r="DU55" s="1">
        <f t="shared" si="1"/>
        <v>0</v>
      </c>
      <c r="DV55" s="1">
        <f t="shared" si="1"/>
        <v>0</v>
      </c>
      <c r="DW55" s="1">
        <f t="shared" si="1"/>
        <v>0</v>
      </c>
      <c r="DX55" s="1">
        <f t="shared" si="1"/>
        <v>0</v>
      </c>
      <c r="DY55" s="1">
        <f t="shared" si="1"/>
        <v>0</v>
      </c>
      <c r="DZ55" s="1">
        <f t="shared" si="1"/>
        <v>0</v>
      </c>
      <c r="EA55" s="1">
        <f t="shared" si="1"/>
        <v>0</v>
      </c>
      <c r="EB55" s="1">
        <f t="shared" si="1"/>
        <v>0</v>
      </c>
      <c r="EC55" s="1">
        <f t="shared" si="1"/>
        <v>0</v>
      </c>
      <c r="ED55" s="1">
        <f t="shared" si="1"/>
        <v>0</v>
      </c>
      <c r="EE55" s="9">
        <f t="shared" si="1"/>
        <v>204554.27416873744</v>
      </c>
      <c r="EF55" s="1">
        <f t="shared" si="1"/>
        <v>204783.01720075399</v>
      </c>
      <c r="EG55" s="1">
        <f t="shared" si="1"/>
        <v>0</v>
      </c>
      <c r="EH55" s="1">
        <f t="shared" si="1"/>
        <v>0</v>
      </c>
      <c r="EI55" s="1">
        <f t="shared" si="1"/>
        <v>0</v>
      </c>
      <c r="EJ55" s="1">
        <f t="shared" si="1"/>
        <v>0</v>
      </c>
      <c r="EK55" s="1">
        <f t="shared" si="1"/>
        <v>0</v>
      </c>
      <c r="EL55" s="1">
        <f t="shared" si="1"/>
        <v>0</v>
      </c>
      <c r="EM55" s="1">
        <f t="shared" si="1"/>
        <v>0</v>
      </c>
      <c r="EN55" s="1">
        <f t="shared" si="1"/>
        <v>0</v>
      </c>
      <c r="EO55" s="1">
        <f t="shared" si="1"/>
        <v>0</v>
      </c>
      <c r="EP55" s="1">
        <f t="shared" si="1"/>
        <v>0</v>
      </c>
      <c r="EQ55" s="1">
        <f t="shared" si="1"/>
        <v>0</v>
      </c>
      <c r="ER55" s="1">
        <f t="shared" si="1"/>
        <v>0</v>
      </c>
      <c r="ES55" s="1">
        <f t="shared" si="1"/>
        <v>0</v>
      </c>
      <c r="ET55" s="1">
        <f t="shared" si="1"/>
        <v>0</v>
      </c>
      <c r="EU55" s="1">
        <f t="shared" si="1"/>
        <v>0</v>
      </c>
      <c r="EV55" s="1">
        <f t="shared" si="1"/>
        <v>0</v>
      </c>
      <c r="EW55" s="1">
        <f t="shared" si="1"/>
        <v>0</v>
      </c>
      <c r="EX55" s="9">
        <f t="shared" si="1"/>
        <v>204783.01720075399</v>
      </c>
      <c r="EY55" s="1">
        <f t="shared" si="1"/>
        <v>204846.84728254491</v>
      </c>
      <c r="EZ55" s="1">
        <f t="shared" si="1"/>
        <v>0</v>
      </c>
      <c r="FA55" s="1">
        <f t="shared" si="1"/>
        <v>0</v>
      </c>
      <c r="FB55" s="1">
        <f t="shared" si="1"/>
        <v>0</v>
      </c>
      <c r="FC55" s="1">
        <f t="shared" si="1"/>
        <v>0</v>
      </c>
      <c r="FD55" s="1">
        <f t="shared" si="1"/>
        <v>0</v>
      </c>
      <c r="FE55" s="1">
        <f t="shared" si="1"/>
        <v>0</v>
      </c>
      <c r="FF55" s="1">
        <f t="shared" si="1"/>
        <v>0</v>
      </c>
      <c r="FG55" s="1">
        <f t="shared" si="1"/>
        <v>0</v>
      </c>
      <c r="FH55" s="1">
        <f t="shared" si="1"/>
        <v>0</v>
      </c>
      <c r="FI55" s="1">
        <f t="shared" si="1"/>
        <v>0</v>
      </c>
      <c r="FJ55" s="1">
        <f t="shared" si="1"/>
        <v>0</v>
      </c>
      <c r="FK55" s="1">
        <f t="shared" si="1"/>
        <v>0</v>
      </c>
      <c r="FL55" s="1">
        <f t="shared" si="2"/>
        <v>0</v>
      </c>
      <c r="FM55" s="1">
        <f t="shared" si="2"/>
        <v>0</v>
      </c>
      <c r="FN55" s="1">
        <f t="shared" si="2"/>
        <v>0</v>
      </c>
      <c r="FO55" s="1">
        <f t="shared" si="2"/>
        <v>0</v>
      </c>
      <c r="FP55" s="1">
        <f t="shared" si="2"/>
        <v>0</v>
      </c>
      <c r="FQ55" s="9">
        <f t="shared" si="2"/>
        <v>204846.84728254491</v>
      </c>
      <c r="FR55" s="1">
        <f t="shared" si="2"/>
        <v>205457.92963353236</v>
      </c>
      <c r="FS55" s="1">
        <f t="shared" si="2"/>
        <v>0</v>
      </c>
      <c r="FT55" s="1">
        <f t="shared" si="2"/>
        <v>0</v>
      </c>
      <c r="FU55" s="1">
        <f t="shared" si="2"/>
        <v>0</v>
      </c>
      <c r="FV55" s="1">
        <f t="shared" si="2"/>
        <v>0</v>
      </c>
      <c r="FW55" s="1">
        <f t="shared" si="2"/>
        <v>0</v>
      </c>
      <c r="FX55" s="1">
        <f t="shared" si="2"/>
        <v>0</v>
      </c>
      <c r="FY55" s="1">
        <f t="shared" si="2"/>
        <v>0</v>
      </c>
      <c r="FZ55" s="1">
        <f t="shared" si="2"/>
        <v>0</v>
      </c>
      <c r="GA55" s="1">
        <f t="shared" si="2"/>
        <v>0</v>
      </c>
      <c r="GB55" s="1">
        <f t="shared" si="2"/>
        <v>0</v>
      </c>
      <c r="GC55" s="1">
        <f t="shared" si="2"/>
        <v>0</v>
      </c>
      <c r="GD55" s="1">
        <f t="shared" si="2"/>
        <v>0</v>
      </c>
      <c r="GE55" s="1">
        <f t="shared" si="2"/>
        <v>0</v>
      </c>
      <c r="GF55" s="1">
        <f t="shared" si="2"/>
        <v>0</v>
      </c>
      <c r="GG55" s="1">
        <f t="shared" si="2"/>
        <v>0</v>
      </c>
      <c r="GH55" s="1">
        <f t="shared" si="2"/>
        <v>0</v>
      </c>
      <c r="GI55" s="1">
        <f t="shared" si="2"/>
        <v>0</v>
      </c>
      <c r="GJ55" s="9">
        <f t="shared" si="2"/>
        <v>205457.92963353236</v>
      </c>
      <c r="GK55" s="1">
        <f t="shared" si="2"/>
        <v>206196.67598294647</v>
      </c>
      <c r="GL55" s="1">
        <f t="shared" si="2"/>
        <v>0</v>
      </c>
      <c r="GM55" s="1">
        <f t="shared" si="2"/>
        <v>0</v>
      </c>
      <c r="GN55" s="1">
        <f t="shared" si="2"/>
        <v>0</v>
      </c>
      <c r="GO55" s="1">
        <f t="shared" si="2"/>
        <v>0</v>
      </c>
      <c r="GP55" s="1">
        <f t="shared" si="2"/>
        <v>0</v>
      </c>
      <c r="GQ55" s="1">
        <f t="shared" si="2"/>
        <v>0</v>
      </c>
      <c r="GR55" s="1">
        <f t="shared" si="2"/>
        <v>0</v>
      </c>
      <c r="GS55" s="1">
        <f t="shared" si="2"/>
        <v>0</v>
      </c>
      <c r="GT55" s="1">
        <f t="shared" si="2"/>
        <v>0</v>
      </c>
      <c r="GU55" s="1">
        <f t="shared" si="2"/>
        <v>0</v>
      </c>
      <c r="GV55" s="1">
        <f t="shared" si="2"/>
        <v>0</v>
      </c>
      <c r="GW55" s="1">
        <f t="shared" si="2"/>
        <v>0</v>
      </c>
      <c r="GX55" s="1">
        <f t="shared" si="2"/>
        <v>0</v>
      </c>
      <c r="GY55" s="1">
        <f t="shared" si="2"/>
        <v>0</v>
      </c>
      <c r="GZ55" s="1">
        <f t="shared" si="2"/>
        <v>0</v>
      </c>
      <c r="HA55" s="1">
        <f t="shared" si="2"/>
        <v>0</v>
      </c>
      <c r="HB55" s="1">
        <f t="shared" si="2"/>
        <v>0</v>
      </c>
      <c r="HC55" s="9">
        <f t="shared" si="2"/>
        <v>206196.67598294647</v>
      </c>
      <c r="HD55" s="1">
        <f t="shared" si="2"/>
        <v>206673.1248049922</v>
      </c>
      <c r="HE55" s="1">
        <f t="shared" si="2"/>
        <v>0</v>
      </c>
      <c r="HF55" s="1">
        <f t="shared" si="2"/>
        <v>0</v>
      </c>
      <c r="HG55" s="1">
        <f t="shared" si="2"/>
        <v>0</v>
      </c>
      <c r="HH55" s="1">
        <f t="shared" si="2"/>
        <v>0</v>
      </c>
      <c r="HI55" s="1">
        <f t="shared" si="2"/>
        <v>0</v>
      </c>
      <c r="HJ55" s="1">
        <f t="shared" si="2"/>
        <v>0</v>
      </c>
      <c r="HK55" s="1">
        <f t="shared" si="2"/>
        <v>0</v>
      </c>
      <c r="HL55" s="1">
        <f t="shared" si="2"/>
        <v>0</v>
      </c>
      <c r="HM55" s="1">
        <f t="shared" si="2"/>
        <v>0</v>
      </c>
      <c r="HN55" s="1">
        <f t="shared" si="2"/>
        <v>0</v>
      </c>
      <c r="HO55" s="1">
        <f t="shared" si="2"/>
        <v>0</v>
      </c>
      <c r="HP55" s="1">
        <f t="shared" si="2"/>
        <v>0</v>
      </c>
      <c r="HQ55" s="1">
        <f t="shared" si="2"/>
        <v>0</v>
      </c>
      <c r="HR55" s="1">
        <f t="shared" si="2"/>
        <v>0</v>
      </c>
      <c r="HS55" s="1">
        <f t="shared" si="2"/>
        <v>0</v>
      </c>
      <c r="HT55" s="1">
        <f t="shared" si="2"/>
        <v>0</v>
      </c>
      <c r="HU55" s="1">
        <f t="shared" si="2"/>
        <v>0</v>
      </c>
      <c r="HV55" s="9">
        <f t="shared" si="2"/>
        <v>206673.1248049922</v>
      </c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</row>
    <row r="56" spans="1:249" hidden="1" x14ac:dyDescent="0.4">
      <c r="B56" t="s">
        <v>88</v>
      </c>
      <c r="D56" s="1">
        <v>278111.81578947371</v>
      </c>
      <c r="E56" s="1">
        <v>189200.72581967214</v>
      </c>
      <c r="F56" s="1">
        <v>192798.54150338439</v>
      </c>
      <c r="G56" s="1">
        <v>182961.7022190408</v>
      </c>
      <c r="H56" s="1">
        <v>114046.55441928415</v>
      </c>
      <c r="I56" s="1">
        <v>108439.73245614035</v>
      </c>
      <c r="J56" s="1">
        <v>120535.20389380532</v>
      </c>
      <c r="K56" s="1">
        <v>128975.84911822338</v>
      </c>
      <c r="L56" s="1">
        <v>150761.0114232788</v>
      </c>
      <c r="M56" s="1">
        <v>148571.40667808219</v>
      </c>
      <c r="N56" s="1">
        <v>151089.38212578153</v>
      </c>
      <c r="O56" s="1">
        <v>168294.28181003584</v>
      </c>
      <c r="P56" s="1">
        <v>124881.46012702893</v>
      </c>
      <c r="Q56" s="1">
        <v>276032.47372262774</v>
      </c>
      <c r="R56" s="1">
        <v>97350.725010036127</v>
      </c>
      <c r="S56" s="1">
        <v>102838.19648737651</v>
      </c>
      <c r="T56" s="1">
        <v>100869.65838885524</v>
      </c>
      <c r="U56" s="9">
        <v>152280.33144684415</v>
      </c>
      <c r="V56" s="1" t="s">
        <v>86</v>
      </c>
      <c r="W56" s="1">
        <v>278111.81578947371</v>
      </c>
      <c r="X56" s="1">
        <v>189200.72581967214</v>
      </c>
      <c r="Y56" s="1">
        <v>192798.54150338439</v>
      </c>
      <c r="Z56" s="1">
        <v>182961.7022190408</v>
      </c>
      <c r="AA56" s="1">
        <v>114046.55441928415</v>
      </c>
      <c r="AB56" s="1">
        <v>108439.73245614035</v>
      </c>
      <c r="AC56" s="1">
        <v>120535.20389380532</v>
      </c>
      <c r="AD56" s="1">
        <v>128975.84911822338</v>
      </c>
      <c r="AE56" s="1">
        <v>150761.0114232788</v>
      </c>
      <c r="AF56" s="1">
        <v>148571.40667808219</v>
      </c>
      <c r="AG56" s="1">
        <v>151089.38212578153</v>
      </c>
      <c r="AH56" s="1">
        <v>168294.28181003584</v>
      </c>
      <c r="AI56" s="1">
        <v>124881.46012702893</v>
      </c>
      <c r="AJ56" s="1">
        <v>276032.47372262774</v>
      </c>
      <c r="AK56" s="1">
        <v>97350.725010036127</v>
      </c>
      <c r="AL56" s="1">
        <v>102838.19648737651</v>
      </c>
      <c r="AM56" s="1">
        <v>100869.65838885524</v>
      </c>
      <c r="AN56" s="9">
        <f t="shared" ref="AN56:BC59" si="3">+U17</f>
        <v>143881.17244146386</v>
      </c>
      <c r="AO56" s="1">
        <f t="shared" si="3"/>
        <v>0</v>
      </c>
      <c r="AP56" s="1">
        <f t="shared" si="3"/>
        <v>225852.160692951</v>
      </c>
      <c r="AQ56" s="1">
        <f t="shared" si="3"/>
        <v>173909.3464212679</v>
      </c>
      <c r="AR56" s="1">
        <f t="shared" si="3"/>
        <v>184997.6969804618</v>
      </c>
      <c r="AS56" s="1">
        <f t="shared" si="3"/>
        <v>172955.16541889485</v>
      </c>
      <c r="AT56" s="1">
        <f t="shared" si="3"/>
        <v>110844.95303376492</v>
      </c>
      <c r="AU56" s="1">
        <f t="shared" si="3"/>
        <v>114631.25331369661</v>
      </c>
      <c r="AV56" s="1">
        <f t="shared" si="3"/>
        <v>127317.94830659537</v>
      </c>
      <c r="AW56" s="1">
        <f t="shared" si="3"/>
        <v>128354.48417829194</v>
      </c>
      <c r="AX56" s="1">
        <f t="shared" si="3"/>
        <v>116379.98708288482</v>
      </c>
      <c r="AY56" s="1">
        <f t="shared" si="3"/>
        <v>143701.93244976486</v>
      </c>
      <c r="AZ56" s="1">
        <f t="shared" si="3"/>
        <v>137489.83493353028</v>
      </c>
      <c r="BA56" s="1">
        <f t="shared" si="3"/>
        <v>157722.16952983727</v>
      </c>
      <c r="BB56" s="1">
        <f t="shared" si="3"/>
        <v>114729.31952247191</v>
      </c>
      <c r="BC56" s="1">
        <f t="shared" si="3"/>
        <v>236308.34144595562</v>
      </c>
      <c r="BD56" s="1">
        <f t="shared" ref="BD56:BS59" si="4">+AK17</f>
        <v>95366.077942948978</v>
      </c>
      <c r="BE56" s="1">
        <f t="shared" si="4"/>
        <v>103817.1496149615</v>
      </c>
      <c r="BF56" s="1">
        <f t="shared" si="4"/>
        <v>106327.35954301075</v>
      </c>
      <c r="BG56" s="9">
        <f t="shared" si="4"/>
        <v>144159.12825948765</v>
      </c>
      <c r="BH56" s="1">
        <f t="shared" si="4"/>
        <v>0</v>
      </c>
      <c r="BI56" s="1">
        <f t="shared" si="4"/>
        <v>225924.13778829094</v>
      </c>
      <c r="BJ56" s="1">
        <f t="shared" si="4"/>
        <v>174325.90916597852</v>
      </c>
      <c r="BK56" s="1">
        <f t="shared" si="4"/>
        <v>187337.05786618445</v>
      </c>
      <c r="BL56" s="1">
        <f t="shared" si="4"/>
        <v>173347.4847032805</v>
      </c>
      <c r="BM56" s="1">
        <f t="shared" si="4"/>
        <v>111023.46710700133</v>
      </c>
      <c r="BN56" s="1">
        <f t="shared" si="4"/>
        <v>114374.06103993971</v>
      </c>
      <c r="BO56" s="1">
        <f t="shared" si="4"/>
        <v>127105.93926247288</v>
      </c>
      <c r="BP56" s="1">
        <f t="shared" si="4"/>
        <v>128812.54889267462</v>
      </c>
      <c r="BQ56" s="1">
        <f t="shared" si="4"/>
        <v>116253.41079175705</v>
      </c>
      <c r="BR56" s="1">
        <f t="shared" si="4"/>
        <v>146677.87558188743</v>
      </c>
      <c r="BS56" s="1">
        <f t="shared" si="4"/>
        <v>137585.05649926144</v>
      </c>
      <c r="BT56" s="1">
        <f t="shared" ref="BT56:CI59" si="5">+BA17</f>
        <v>158008.96078431373</v>
      </c>
      <c r="BU56" s="1">
        <f t="shared" si="5"/>
        <v>114871.16619519095</v>
      </c>
      <c r="BV56" s="1">
        <f t="shared" si="5"/>
        <v>236706.7191091954</v>
      </c>
      <c r="BW56" s="1">
        <f t="shared" si="5"/>
        <v>95333.02463054187</v>
      </c>
      <c r="BX56" s="1">
        <f t="shared" si="5"/>
        <v>103963.76640711902</v>
      </c>
      <c r="BY56" s="1">
        <f t="shared" si="5"/>
        <v>104649.06094808127</v>
      </c>
      <c r="BZ56" s="9">
        <f t="shared" si="5"/>
        <v>144488.2145160689</v>
      </c>
      <c r="CA56" s="1">
        <f t="shared" si="5"/>
        <v>0</v>
      </c>
      <c r="CB56" s="1">
        <f t="shared" si="5"/>
        <v>226039.97461629281</v>
      </c>
      <c r="CC56" s="1">
        <f t="shared" si="5"/>
        <v>176674.48277347116</v>
      </c>
      <c r="CD56" s="1">
        <f t="shared" si="5"/>
        <v>187129.38272497291</v>
      </c>
      <c r="CE56" s="1">
        <f t="shared" si="5"/>
        <v>173332.91967575534</v>
      </c>
      <c r="CF56" s="1">
        <f t="shared" si="5"/>
        <v>111385.10385126162</v>
      </c>
      <c r="CG56" s="1">
        <f t="shared" si="5"/>
        <v>114539.45171102662</v>
      </c>
      <c r="CH56" s="1">
        <f t="shared" si="5"/>
        <v>126660.09565857248</v>
      </c>
      <c r="CI56" s="1">
        <f t="shared" si="5"/>
        <v>128399.38208852005</v>
      </c>
      <c r="CJ56" s="1">
        <f t="shared" ref="CJ56:CY59" si="6">+BQ17</f>
        <v>115874.12445533769</v>
      </c>
      <c r="CK56" s="1">
        <f t="shared" si="6"/>
        <v>146741.12818371606</v>
      </c>
      <c r="CL56" s="1">
        <f t="shared" si="6"/>
        <v>143630.24683544305</v>
      </c>
      <c r="CM56" s="1">
        <f t="shared" si="6"/>
        <v>157917.94858962693</v>
      </c>
      <c r="CN56" s="1">
        <f t="shared" si="6"/>
        <v>115021.2970505618</v>
      </c>
      <c r="CO56" s="1">
        <f t="shared" si="6"/>
        <v>236555.77690100431</v>
      </c>
      <c r="CP56" s="1">
        <f t="shared" si="6"/>
        <v>96819.316997792499</v>
      </c>
      <c r="CQ56" s="1">
        <f t="shared" si="6"/>
        <v>104174.29510022272</v>
      </c>
      <c r="CR56" s="1">
        <f t="shared" si="6"/>
        <v>104203.21499617444</v>
      </c>
      <c r="CS56" s="9">
        <f t="shared" si="6"/>
        <v>145005.77307116191</v>
      </c>
      <c r="CT56" s="1">
        <f t="shared" si="6"/>
        <v>0</v>
      </c>
      <c r="CU56" s="1">
        <f t="shared" si="6"/>
        <v>226133.08785377358</v>
      </c>
      <c r="CV56" s="1">
        <f t="shared" si="6"/>
        <v>177568.64105902778</v>
      </c>
      <c r="CW56" s="1">
        <f t="shared" si="6"/>
        <v>187605.99127589967</v>
      </c>
      <c r="CX56" s="1">
        <f t="shared" si="6"/>
        <v>173591.38985560904</v>
      </c>
      <c r="CY56" s="1">
        <f t="shared" si="6"/>
        <v>112000.23839496459</v>
      </c>
      <c r="CZ56" s="1">
        <f t="shared" ref="CZ56:DO59" si="7">+CG17</f>
        <v>114621.71939163498</v>
      </c>
      <c r="DA56" s="1">
        <f t="shared" si="7"/>
        <v>126807.42194403535</v>
      </c>
      <c r="DB56" s="1">
        <f t="shared" si="7"/>
        <v>128577.54980909407</v>
      </c>
      <c r="DC56" s="1">
        <f t="shared" si="7"/>
        <v>115970.5451341827</v>
      </c>
      <c r="DD56" s="1">
        <f t="shared" si="7"/>
        <v>147443.04304220644</v>
      </c>
      <c r="DE56" s="1">
        <f t="shared" si="7"/>
        <v>144034.40662540952</v>
      </c>
      <c r="DF56" s="1">
        <f t="shared" si="7"/>
        <v>157992.9465509365</v>
      </c>
      <c r="DG56" s="1">
        <f t="shared" si="7"/>
        <v>115116.18200983838</v>
      </c>
      <c r="DH56" s="1">
        <f t="shared" si="7"/>
        <v>237366.36581818183</v>
      </c>
      <c r="DI56" s="1">
        <f t="shared" si="7"/>
        <v>97523.379419764286</v>
      </c>
      <c r="DJ56" s="1">
        <f t="shared" si="7"/>
        <v>104456.98079096046</v>
      </c>
      <c r="DK56" s="1">
        <f t="shared" si="7"/>
        <v>103922.23237800154</v>
      </c>
      <c r="DL56" s="9">
        <f t="shared" si="7"/>
        <v>145337.18360903065</v>
      </c>
      <c r="DM56" s="1">
        <f t="shared" si="7"/>
        <v>0</v>
      </c>
      <c r="DN56" s="1">
        <f t="shared" si="7"/>
        <v>226284.04502923976</v>
      </c>
      <c r="DO56" s="1">
        <f t="shared" si="7"/>
        <v>177265.03628509719</v>
      </c>
      <c r="DP56" s="1">
        <f t="shared" ref="DP56:EE59" si="8">+CW17</f>
        <v>187617.21729651163</v>
      </c>
      <c r="DQ56" s="1">
        <f t="shared" si="8"/>
        <v>173959.1530196369</v>
      </c>
      <c r="DR56" s="1">
        <f t="shared" si="8"/>
        <v>112091.68006263048</v>
      </c>
      <c r="DS56" s="1">
        <f t="shared" si="8"/>
        <v>114858.48156682028</v>
      </c>
      <c r="DT56" s="1">
        <f t="shared" si="8"/>
        <v>126656.07306273063</v>
      </c>
      <c r="DU56" s="1">
        <f t="shared" si="8"/>
        <v>128640.33251833741</v>
      </c>
      <c r="DV56" s="1">
        <f t="shared" si="8"/>
        <v>116242.44319399785</v>
      </c>
      <c r="DW56" s="1">
        <f t="shared" si="8"/>
        <v>147877.51272100044</v>
      </c>
      <c r="DX56" s="1">
        <f t="shared" si="8"/>
        <v>146544.30391101542</v>
      </c>
      <c r="DY56" s="1">
        <f t="shared" si="8"/>
        <v>157875.31350114418</v>
      </c>
      <c r="DZ56" s="1">
        <f t="shared" si="8"/>
        <v>115211.94565984474</v>
      </c>
      <c r="EA56" s="1">
        <f t="shared" si="8"/>
        <v>243640.61234071094</v>
      </c>
      <c r="EB56" s="1">
        <f t="shared" si="8"/>
        <v>96986.216490096733</v>
      </c>
      <c r="EC56" s="1">
        <f t="shared" si="8"/>
        <v>102935.73814898419</v>
      </c>
      <c r="ED56" s="1">
        <f t="shared" si="8"/>
        <v>103855.99382239382</v>
      </c>
      <c r="EE56" s="9">
        <f t="shared" si="8"/>
        <v>145796.59403707017</v>
      </c>
      <c r="EF56" s="1">
        <f t="shared" ref="EF56:EU59" si="9">+DM17</f>
        <v>0</v>
      </c>
      <c r="EG56" s="1">
        <f t="shared" si="9"/>
        <v>225188.71205098493</v>
      </c>
      <c r="EH56" s="1">
        <f t="shared" si="9"/>
        <v>178603.66350710901</v>
      </c>
      <c r="EI56" s="1">
        <f t="shared" si="9"/>
        <v>187781.07653429604</v>
      </c>
      <c r="EJ56" s="1">
        <f t="shared" si="9"/>
        <v>174059.28907124206</v>
      </c>
      <c r="EK56" s="1">
        <f t="shared" si="9"/>
        <v>112195.76541935484</v>
      </c>
      <c r="EL56" s="1">
        <f t="shared" si="9"/>
        <v>115420.72123552124</v>
      </c>
      <c r="EM56" s="1">
        <f t="shared" si="9"/>
        <v>126716.66715976331</v>
      </c>
      <c r="EN56" s="1">
        <f t="shared" si="9"/>
        <v>128993.76731301939</v>
      </c>
      <c r="EO56" s="1">
        <f t="shared" si="9"/>
        <v>116293.08743024182</v>
      </c>
      <c r="EP56" s="1">
        <f t="shared" si="9"/>
        <v>148136.97316017316</v>
      </c>
      <c r="EQ56" s="1">
        <f t="shared" si="9"/>
        <v>147219.43562928238</v>
      </c>
      <c r="ER56" s="1">
        <f t="shared" si="9"/>
        <v>157797.44358507733</v>
      </c>
      <c r="ES56" s="1">
        <f t="shared" si="9"/>
        <v>115238.67632508834</v>
      </c>
      <c r="ET56" s="1">
        <f t="shared" si="9"/>
        <v>233099.07422680414</v>
      </c>
      <c r="EU56" s="1">
        <f t="shared" si="9"/>
        <v>96563.981403998143</v>
      </c>
      <c r="EV56" s="1">
        <f t="shared" ref="EV56:FK59" si="10">+EC17</f>
        <v>102913.25788288288</v>
      </c>
      <c r="EW56" s="1">
        <f t="shared" si="10"/>
        <v>103938.78664620107</v>
      </c>
      <c r="EX56" s="9">
        <f t="shared" si="10"/>
        <v>145303.55168123767</v>
      </c>
      <c r="EY56" s="1">
        <f t="shared" si="10"/>
        <v>0</v>
      </c>
      <c r="EZ56" s="1">
        <f t="shared" si="10"/>
        <v>224922.64804147466</v>
      </c>
      <c r="FA56" s="1">
        <f t="shared" si="10"/>
        <v>178878.97630331753</v>
      </c>
      <c r="FB56" s="1">
        <f t="shared" si="10"/>
        <v>192546.3454610951</v>
      </c>
      <c r="FC56" s="1">
        <f t="shared" si="10"/>
        <v>174423.54190154077</v>
      </c>
      <c r="FD56" s="1">
        <f t="shared" si="10"/>
        <v>112593.61924257933</v>
      </c>
      <c r="FE56" s="1">
        <f t="shared" si="10"/>
        <v>116743.58047292143</v>
      </c>
      <c r="FF56" s="1">
        <f t="shared" si="10"/>
        <v>126791.74981467753</v>
      </c>
      <c r="FG56" s="1">
        <f t="shared" si="10"/>
        <v>130182.72499140598</v>
      </c>
      <c r="FH56" s="1">
        <f t="shared" si="10"/>
        <v>116379.46755319148</v>
      </c>
      <c r="FI56" s="1">
        <f t="shared" si="10"/>
        <v>147714.75320239112</v>
      </c>
      <c r="FJ56" s="1">
        <f t="shared" si="10"/>
        <v>147357.98305695746</v>
      </c>
      <c r="FK56" s="1">
        <f t="shared" si="10"/>
        <v>158175.988631196</v>
      </c>
      <c r="FL56" s="1">
        <f t="shared" ref="FL56:GA59" si="11">+ES17</f>
        <v>115713.08737864078</v>
      </c>
      <c r="FM56" s="1">
        <f t="shared" si="11"/>
        <v>227764.43949044586</v>
      </c>
      <c r="FN56" s="1">
        <f t="shared" si="11"/>
        <v>96639.853215284253</v>
      </c>
      <c r="FO56" s="1">
        <f t="shared" si="11"/>
        <v>102880.98773690077</v>
      </c>
      <c r="FP56" s="1">
        <f t="shared" si="11"/>
        <v>103800.17509157509</v>
      </c>
      <c r="FQ56" s="9">
        <f t="shared" si="11"/>
        <v>145500.58362268208</v>
      </c>
      <c r="FR56" s="1">
        <f t="shared" si="11"/>
        <v>0</v>
      </c>
      <c r="FS56" s="1">
        <f t="shared" si="11"/>
        <v>225350.96749854906</v>
      </c>
      <c r="FT56" s="1">
        <f t="shared" si="11"/>
        <v>179099.95460440987</v>
      </c>
      <c r="FU56" s="1">
        <f t="shared" si="11"/>
        <v>194722.49819884726</v>
      </c>
      <c r="FV56" s="1">
        <f t="shared" si="11"/>
        <v>173770.08769931662</v>
      </c>
      <c r="FW56" s="1">
        <f t="shared" si="11"/>
        <v>112652.99393173198</v>
      </c>
      <c r="FX56" s="1">
        <f t="shared" si="11"/>
        <v>116967.09320091673</v>
      </c>
      <c r="FY56" s="1">
        <f t="shared" si="11"/>
        <v>126666.84247590808</v>
      </c>
      <c r="FZ56" s="1">
        <f t="shared" si="11"/>
        <v>130976.50673854447</v>
      </c>
      <c r="GA56" s="1">
        <f t="shared" si="11"/>
        <v>116751.5096</v>
      </c>
      <c r="GB56" s="1">
        <f t="shared" ref="GB56:GQ59" si="12">+FI17</f>
        <v>147352.32912457912</v>
      </c>
      <c r="GC56" s="1">
        <f t="shared" si="12"/>
        <v>147426.64961636829</v>
      </c>
      <c r="GD56" s="1">
        <f t="shared" si="12"/>
        <v>157717.33405923346</v>
      </c>
      <c r="GE56" s="1">
        <f t="shared" si="12"/>
        <v>115801.97919556173</v>
      </c>
      <c r="GF56" s="1">
        <f t="shared" si="12"/>
        <v>229195.5781893004</v>
      </c>
      <c r="GG56" s="1">
        <f t="shared" si="12"/>
        <v>97425.259069767446</v>
      </c>
      <c r="GH56" s="1">
        <f t="shared" si="12"/>
        <v>102969.16053511706</v>
      </c>
      <c r="GI56" s="1">
        <f t="shared" si="12"/>
        <v>104886.59168522643</v>
      </c>
      <c r="GJ56" s="9">
        <f t="shared" si="12"/>
        <v>145866.66678961052</v>
      </c>
      <c r="GK56" s="1">
        <f t="shared" si="12"/>
        <v>0</v>
      </c>
      <c r="GL56" s="1">
        <f t="shared" si="12"/>
        <v>225694.83700696056</v>
      </c>
      <c r="GM56" s="1">
        <f t="shared" si="12"/>
        <v>178508.39872068231</v>
      </c>
      <c r="GN56" s="1">
        <f t="shared" si="12"/>
        <v>195563.04292929292</v>
      </c>
      <c r="GO56" s="1">
        <f t="shared" si="12"/>
        <v>176342.66478342749</v>
      </c>
      <c r="GP56" s="1">
        <f t="shared" si="12"/>
        <v>112794.93772151899</v>
      </c>
      <c r="GQ56" s="1">
        <f t="shared" si="12"/>
        <v>117088.90596330275</v>
      </c>
      <c r="GR56" s="1">
        <f t="shared" ref="GR56:HG59" si="13">+FY17</f>
        <v>126753.77831594634</v>
      </c>
      <c r="GS56" s="1">
        <f t="shared" si="13"/>
        <v>131043.24333333333</v>
      </c>
      <c r="GT56" s="1">
        <f t="shared" si="13"/>
        <v>117240.99402498642</v>
      </c>
      <c r="GU56" s="1">
        <f t="shared" si="13"/>
        <v>147346.41889632106</v>
      </c>
      <c r="GV56" s="1">
        <f t="shared" si="13"/>
        <v>146827.88772563176</v>
      </c>
      <c r="GW56" s="1">
        <f t="shared" si="13"/>
        <v>156204.87968026925</v>
      </c>
      <c r="GX56" s="1">
        <f t="shared" si="13"/>
        <v>115872.82835302294</v>
      </c>
      <c r="GY56" s="1">
        <f t="shared" si="13"/>
        <v>228323.4533696392</v>
      </c>
      <c r="GZ56" s="1">
        <f t="shared" si="13"/>
        <v>97514.557558945904</v>
      </c>
      <c r="HA56" s="1">
        <f t="shared" si="13"/>
        <v>102492.91749174918</v>
      </c>
      <c r="HB56" s="1">
        <f t="shared" si="13"/>
        <v>104910.65429403202</v>
      </c>
      <c r="HC56" s="9">
        <f t="shared" si="13"/>
        <v>145913.20000994485</v>
      </c>
      <c r="HD56" s="1">
        <f t="shared" si="13"/>
        <v>0</v>
      </c>
      <c r="HE56" s="1">
        <f t="shared" si="13"/>
        <v>225543.92303240742</v>
      </c>
      <c r="HF56" s="1">
        <f t="shared" si="13"/>
        <v>178280.96235194584</v>
      </c>
      <c r="HG56" s="1">
        <f t="shared" si="13"/>
        <v>195665.33525387108</v>
      </c>
      <c r="HH56" s="1">
        <f t="shared" ref="HH56:HV59" si="14">+GO17</f>
        <v>175925.00675422139</v>
      </c>
      <c r="HI56" s="1">
        <f t="shared" si="14"/>
        <v>112940.68292682926</v>
      </c>
      <c r="HJ56" s="1">
        <f t="shared" si="14"/>
        <v>116704.43444530644</v>
      </c>
      <c r="HK56" s="1">
        <f t="shared" si="14"/>
        <v>126577.36333578252</v>
      </c>
      <c r="HL56" s="1">
        <f t="shared" si="14"/>
        <v>131522.62223710649</v>
      </c>
      <c r="HM56" s="1">
        <f t="shared" si="14"/>
        <v>117296.6339673913</v>
      </c>
      <c r="HN56" s="1">
        <f t="shared" si="14"/>
        <v>147528.26247379454</v>
      </c>
      <c r="HO56" s="1">
        <f t="shared" si="14"/>
        <v>146460.53631484794</v>
      </c>
      <c r="HP56" s="1">
        <f t="shared" si="14"/>
        <v>155936.20359531773</v>
      </c>
      <c r="HQ56" s="1">
        <f t="shared" si="14"/>
        <v>115843.17118997913</v>
      </c>
      <c r="HR56" s="1">
        <f t="shared" si="14"/>
        <v>230029.54361479415</v>
      </c>
      <c r="HS56" s="1">
        <f t="shared" si="14"/>
        <v>97499.220689655165</v>
      </c>
      <c r="HT56" s="1">
        <f t="shared" si="14"/>
        <v>101559.09848484848</v>
      </c>
      <c r="HU56" s="1">
        <f t="shared" si="14"/>
        <v>104289.82932011332</v>
      </c>
      <c r="HV56" s="9">
        <f t="shared" si="14"/>
        <v>145858.98999930662</v>
      </c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</row>
    <row r="57" spans="1:249" s="6" customFormat="1" hidden="1" x14ac:dyDescent="0.4">
      <c r="B57" s="6" t="s">
        <v>37</v>
      </c>
      <c r="C57" s="8"/>
      <c r="D57" s="8">
        <v>438999.88807785889</v>
      </c>
      <c r="E57" s="8">
        <v>247638.12903225806</v>
      </c>
      <c r="F57" s="8">
        <v>253785.41260084519</v>
      </c>
      <c r="G57" s="8">
        <v>257891.32115749526</v>
      </c>
      <c r="H57" s="8">
        <v>215784.93083573488</v>
      </c>
      <c r="I57" s="8">
        <v>203764.80216802168</v>
      </c>
      <c r="J57" s="8">
        <v>237730.14213926776</v>
      </c>
      <c r="K57" s="8">
        <v>244504.48859416446</v>
      </c>
      <c r="L57" s="8">
        <v>386946.38200339559</v>
      </c>
      <c r="M57" s="8">
        <v>314131.65552238806</v>
      </c>
      <c r="N57" s="8">
        <v>222182.88601036271</v>
      </c>
      <c r="O57" s="8">
        <v>221706.88548057259</v>
      </c>
      <c r="P57" s="8">
        <v>203441.22869318182</v>
      </c>
      <c r="Q57" s="8">
        <v>262086.59016393442</v>
      </c>
      <c r="R57" s="8">
        <v>200081.6865284974</v>
      </c>
      <c r="S57" s="8">
        <v>174440.81351351351</v>
      </c>
      <c r="T57" s="8">
        <v>233768.74233128835</v>
      </c>
      <c r="U57" s="5">
        <v>253044.54739336492</v>
      </c>
      <c r="V57" s="8"/>
      <c r="W57" s="8">
        <v>438999.88807785889</v>
      </c>
      <c r="X57" s="8">
        <v>247638.12903225806</v>
      </c>
      <c r="Y57" s="8">
        <v>253785.41260084519</v>
      </c>
      <c r="Z57" s="8">
        <v>257891.32115749526</v>
      </c>
      <c r="AA57" s="8">
        <v>215784.93083573488</v>
      </c>
      <c r="AB57" s="8">
        <v>203764.80216802168</v>
      </c>
      <c r="AC57" s="8">
        <v>237730.14213926776</v>
      </c>
      <c r="AD57" s="8">
        <v>244504.48859416446</v>
      </c>
      <c r="AE57" s="8">
        <v>386946.38200339559</v>
      </c>
      <c r="AF57" s="8">
        <v>314131.65552238806</v>
      </c>
      <c r="AG57" s="8">
        <v>222182.88601036271</v>
      </c>
      <c r="AH57" s="8">
        <v>221706.88548057259</v>
      </c>
      <c r="AI57" s="8">
        <v>203441.22869318182</v>
      </c>
      <c r="AJ57" s="8">
        <v>262086.59016393442</v>
      </c>
      <c r="AK57" s="8">
        <v>200081.6865284974</v>
      </c>
      <c r="AL57" s="8">
        <v>174440.81351351351</v>
      </c>
      <c r="AM57" s="8">
        <v>233768.74233128835</v>
      </c>
      <c r="AN57" s="5">
        <f t="shared" si="3"/>
        <v>247093.56317608312</v>
      </c>
      <c r="AO57" s="8">
        <f t="shared" si="3"/>
        <v>0</v>
      </c>
      <c r="AP57" s="8">
        <f t="shared" si="3"/>
        <v>435299.86618004867</v>
      </c>
      <c r="AQ57" s="8">
        <f t="shared" si="3"/>
        <v>254285.57201225741</v>
      </c>
      <c r="AR57" s="8">
        <f t="shared" si="3"/>
        <v>249810.97464464081</v>
      </c>
      <c r="AS57" s="8">
        <f t="shared" si="3"/>
        <v>259924.74367541767</v>
      </c>
      <c r="AT57" s="8">
        <f t="shared" si="3"/>
        <v>220888.88846520495</v>
      </c>
      <c r="AU57" s="8">
        <f t="shared" si="3"/>
        <v>199652.60162601626</v>
      </c>
      <c r="AV57" s="8">
        <f t="shared" si="3"/>
        <v>239239.93871866295</v>
      </c>
      <c r="AW57" s="8">
        <f t="shared" si="3"/>
        <v>251181.78763866879</v>
      </c>
      <c r="AX57" s="8">
        <f t="shared" si="3"/>
        <v>253359.35285913528</v>
      </c>
      <c r="AY57" s="8">
        <f t="shared" si="3"/>
        <v>310174.34002433089</v>
      </c>
      <c r="AZ57" s="8">
        <f t="shared" si="3"/>
        <v>228121.38692946057</v>
      </c>
      <c r="BA57" s="8">
        <f t="shared" si="3"/>
        <v>227915.36726546907</v>
      </c>
      <c r="BB57" s="8">
        <f t="shared" si="3"/>
        <v>206498.0291262136</v>
      </c>
      <c r="BC57" s="8">
        <f t="shared" si="3"/>
        <v>258811.9431171786</v>
      </c>
      <c r="BD57" s="8">
        <f t="shared" si="4"/>
        <v>187138.16397849462</v>
      </c>
      <c r="BE57" s="8">
        <f t="shared" si="4"/>
        <v>179416.26816380449</v>
      </c>
      <c r="BF57" s="8">
        <f t="shared" si="4"/>
        <v>254033.44411764707</v>
      </c>
      <c r="BG57" s="5">
        <f t="shared" si="4"/>
        <v>247985.4510907442</v>
      </c>
      <c r="BH57" s="8">
        <f t="shared" si="4"/>
        <v>0</v>
      </c>
      <c r="BI57" s="8">
        <f t="shared" si="4"/>
        <v>428000.59610705596</v>
      </c>
      <c r="BJ57" s="8">
        <f t="shared" si="4"/>
        <v>255961.45398773006</v>
      </c>
      <c r="BK57" s="8">
        <f t="shared" si="4"/>
        <v>248546.07835678966</v>
      </c>
      <c r="BL57" s="8">
        <f t="shared" si="4"/>
        <v>261406.22735849058</v>
      </c>
      <c r="BM57" s="8">
        <f t="shared" si="4"/>
        <v>220862.13844714686</v>
      </c>
      <c r="BN57" s="8">
        <f t="shared" si="4"/>
        <v>206099.87967914439</v>
      </c>
      <c r="BO57" s="8">
        <f t="shared" si="4"/>
        <v>239965.19466474405</v>
      </c>
      <c r="BP57" s="8">
        <f t="shared" si="4"/>
        <v>253603.51331203408</v>
      </c>
      <c r="BQ57" s="8">
        <f t="shared" si="4"/>
        <v>252950.50894085283</v>
      </c>
      <c r="BR57" s="8">
        <f t="shared" si="4"/>
        <v>318667.49138443253</v>
      </c>
      <c r="BS57" s="8">
        <f t="shared" si="4"/>
        <v>229581.50153217569</v>
      </c>
      <c r="BT57" s="8">
        <f t="shared" si="5"/>
        <v>227979.4852071006</v>
      </c>
      <c r="BU57" s="8">
        <f t="shared" si="5"/>
        <v>208829.07692307694</v>
      </c>
      <c r="BV57" s="8">
        <f t="shared" si="5"/>
        <v>260973.86203028602</v>
      </c>
      <c r="BW57" s="8">
        <f t="shared" si="5"/>
        <v>188206.10483870967</v>
      </c>
      <c r="BX57" s="8">
        <f t="shared" si="5"/>
        <v>179628.12137203166</v>
      </c>
      <c r="BY57" s="8">
        <f t="shared" si="5"/>
        <v>255999.19207317074</v>
      </c>
      <c r="BZ57" s="5">
        <f t="shared" si="5"/>
        <v>249250.61330676303</v>
      </c>
      <c r="CA57" s="8">
        <f t="shared" si="5"/>
        <v>0</v>
      </c>
      <c r="CB57" s="8">
        <f t="shared" si="5"/>
        <v>437927.60340632603</v>
      </c>
      <c r="CC57" s="8">
        <f t="shared" si="5"/>
        <v>257311.94464377241</v>
      </c>
      <c r="CD57" s="8">
        <f t="shared" si="5"/>
        <v>250271.69423368739</v>
      </c>
      <c r="CE57" s="8">
        <f t="shared" si="5"/>
        <v>261545.29325789722</v>
      </c>
      <c r="CF57" s="8">
        <f t="shared" si="5"/>
        <v>221419.17788018432</v>
      </c>
      <c r="CG57" s="8">
        <f t="shared" si="5"/>
        <v>206359.98670212767</v>
      </c>
      <c r="CH57" s="8">
        <f t="shared" si="5"/>
        <v>239246.74747474748</v>
      </c>
      <c r="CI57" s="8">
        <f t="shared" si="5"/>
        <v>256247.06673564407</v>
      </c>
      <c r="CJ57" s="8">
        <f t="shared" si="6"/>
        <v>241747.09256844851</v>
      </c>
      <c r="CK57" s="8">
        <f t="shared" si="6"/>
        <v>319258.15339233039</v>
      </c>
      <c r="CL57" s="8">
        <f t="shared" si="6"/>
        <v>230799.64032421479</v>
      </c>
      <c r="CM57" s="8">
        <f t="shared" si="6"/>
        <v>228152.60373647985</v>
      </c>
      <c r="CN57" s="8">
        <f t="shared" si="6"/>
        <v>209794.6032388664</v>
      </c>
      <c r="CO57" s="8">
        <f t="shared" si="6"/>
        <v>264540.28032979975</v>
      </c>
      <c r="CP57" s="8">
        <f t="shared" si="6"/>
        <v>188641.28212290502</v>
      </c>
      <c r="CQ57" s="8">
        <f t="shared" si="6"/>
        <v>180177.48666666666</v>
      </c>
      <c r="CR57" s="8">
        <f t="shared" si="6"/>
        <v>256620.72307692308</v>
      </c>
      <c r="CS57" s="5">
        <f t="shared" si="6"/>
        <v>250003.61057594238</v>
      </c>
      <c r="CT57" s="8">
        <f t="shared" si="6"/>
        <v>0</v>
      </c>
      <c r="CU57" s="8">
        <f t="shared" si="6"/>
        <v>442307.16545012168</v>
      </c>
      <c r="CV57" s="8">
        <f t="shared" si="6"/>
        <v>257676.48288196218</v>
      </c>
      <c r="CW57" s="8">
        <f t="shared" si="6"/>
        <v>250264.68874670682</v>
      </c>
      <c r="CX57" s="8">
        <f t="shared" si="6"/>
        <v>261542.38447058824</v>
      </c>
      <c r="CY57" s="8">
        <f t="shared" si="6"/>
        <v>221426.20531622364</v>
      </c>
      <c r="CZ57" s="8">
        <f t="shared" si="7"/>
        <v>206078.91129032258</v>
      </c>
      <c r="DA57" s="8">
        <f t="shared" si="7"/>
        <v>239122.01222142344</v>
      </c>
      <c r="DB57" s="8">
        <f t="shared" si="7"/>
        <v>256719.76494634646</v>
      </c>
      <c r="DC57" s="8">
        <f t="shared" si="7"/>
        <v>256613.2671957672</v>
      </c>
      <c r="DD57" s="8">
        <f t="shared" si="7"/>
        <v>320149.28154205607</v>
      </c>
      <c r="DE57" s="8">
        <f t="shared" si="7"/>
        <v>230956.63793103449</v>
      </c>
      <c r="DF57" s="8">
        <f t="shared" si="7"/>
        <v>228503.17261904763</v>
      </c>
      <c r="DG57" s="8">
        <f t="shared" si="7"/>
        <v>209967.4566395664</v>
      </c>
      <c r="DH57" s="8">
        <f t="shared" si="7"/>
        <v>265290.22361359571</v>
      </c>
      <c r="DI57" s="8">
        <f t="shared" si="7"/>
        <v>189464.3426966292</v>
      </c>
      <c r="DJ57" s="8">
        <f t="shared" si="7"/>
        <v>180283.32364597093</v>
      </c>
      <c r="DK57" s="8">
        <f t="shared" si="7"/>
        <v>255586.40419161678</v>
      </c>
      <c r="DL57" s="5">
        <f t="shared" si="7"/>
        <v>251291.27796464582</v>
      </c>
      <c r="DM57" s="8">
        <f t="shared" si="7"/>
        <v>0</v>
      </c>
      <c r="DN57" s="8">
        <f t="shared" si="7"/>
        <v>442336.6707021792</v>
      </c>
      <c r="DO57" s="8">
        <f t="shared" si="7"/>
        <v>258041.10391566265</v>
      </c>
      <c r="DP57" s="8">
        <f t="shared" si="8"/>
        <v>249977.54127754949</v>
      </c>
      <c r="DQ57" s="8">
        <f t="shared" si="8"/>
        <v>262333.56723484851</v>
      </c>
      <c r="DR57" s="8">
        <f t="shared" si="8"/>
        <v>221988.36990027199</v>
      </c>
      <c r="DS57" s="8">
        <f t="shared" si="8"/>
        <v>208284.77864583334</v>
      </c>
      <c r="DT57" s="8">
        <f t="shared" si="8"/>
        <v>239117.32122507124</v>
      </c>
      <c r="DU57" s="8">
        <f t="shared" si="8"/>
        <v>256556.75483214649</v>
      </c>
      <c r="DV57" s="8">
        <f t="shared" si="8"/>
        <v>260647.14570361146</v>
      </c>
      <c r="DW57" s="8">
        <f t="shared" si="8"/>
        <v>319201.38479001133</v>
      </c>
      <c r="DX57" s="8">
        <f t="shared" si="8"/>
        <v>231079.27558257346</v>
      </c>
      <c r="DY57" s="8">
        <f t="shared" si="8"/>
        <v>230998.62143559489</v>
      </c>
      <c r="DZ57" s="8">
        <f t="shared" si="8"/>
        <v>209968.85385656293</v>
      </c>
      <c r="EA57" s="8">
        <f t="shared" si="8"/>
        <v>265061.52386634843</v>
      </c>
      <c r="EB57" s="8">
        <f t="shared" si="8"/>
        <v>189605.89915966385</v>
      </c>
      <c r="EC57" s="8">
        <f t="shared" si="8"/>
        <v>180145.69946808511</v>
      </c>
      <c r="ED57" s="8">
        <f t="shared" si="8"/>
        <v>250099.56211180124</v>
      </c>
      <c r="EE57" s="5">
        <f t="shared" si="8"/>
        <v>251496.71021810677</v>
      </c>
      <c r="EF57" s="8">
        <f t="shared" si="9"/>
        <v>0</v>
      </c>
      <c r="EG57" s="8">
        <f t="shared" si="9"/>
        <v>442336.6707021792</v>
      </c>
      <c r="EH57" s="8">
        <f t="shared" si="9"/>
        <v>257848.24274274273</v>
      </c>
      <c r="EI57" s="8">
        <f t="shared" si="9"/>
        <v>250318.37897853443</v>
      </c>
      <c r="EJ57" s="8">
        <f t="shared" si="9"/>
        <v>262866.83560356975</v>
      </c>
      <c r="EK57" s="8">
        <f t="shared" si="9"/>
        <v>223113.26032315977</v>
      </c>
      <c r="EL57" s="8">
        <f t="shared" si="9"/>
        <v>208431.44300518135</v>
      </c>
      <c r="EM57" s="8">
        <f t="shared" si="9"/>
        <v>239243.04338549075</v>
      </c>
      <c r="EN57" s="8">
        <f t="shared" si="9"/>
        <v>256349.41611758742</v>
      </c>
      <c r="EO57" s="8">
        <f t="shared" si="9"/>
        <v>260919.97263681592</v>
      </c>
      <c r="EP57" s="8">
        <f t="shared" si="9"/>
        <v>318572.0734463277</v>
      </c>
      <c r="EQ57" s="8">
        <f t="shared" si="9"/>
        <v>235035.13958125623</v>
      </c>
      <c r="ER57" s="8">
        <f t="shared" si="9"/>
        <v>231304.12377210218</v>
      </c>
      <c r="ES57" s="8">
        <f t="shared" si="9"/>
        <v>210026.8990578735</v>
      </c>
      <c r="ET57" s="8">
        <f t="shared" si="9"/>
        <v>266383.3215158924</v>
      </c>
      <c r="EU57" s="8">
        <f t="shared" si="9"/>
        <v>195300.73369565216</v>
      </c>
      <c r="EV57" s="8">
        <f t="shared" si="10"/>
        <v>180188.51199999999</v>
      </c>
      <c r="EW57" s="8">
        <f t="shared" si="10"/>
        <v>244330.14671814672</v>
      </c>
      <c r="EX57" s="5">
        <f t="shared" si="10"/>
        <v>251915.77725191251</v>
      </c>
      <c r="EY57" s="8">
        <f t="shared" si="10"/>
        <v>0</v>
      </c>
      <c r="EZ57" s="8">
        <f t="shared" si="10"/>
        <v>442336.6707021792</v>
      </c>
      <c r="FA57" s="8">
        <f t="shared" si="10"/>
        <v>258255.20410205104</v>
      </c>
      <c r="FB57" s="8">
        <f t="shared" si="10"/>
        <v>251594.53840499817</v>
      </c>
      <c r="FC57" s="8">
        <f t="shared" si="10"/>
        <v>262821.39185393258</v>
      </c>
      <c r="FD57" s="8">
        <f t="shared" si="10"/>
        <v>222806.71960958297</v>
      </c>
      <c r="FE57" s="8">
        <f t="shared" si="10"/>
        <v>204591.21582733814</v>
      </c>
      <c r="FF57" s="8">
        <f t="shared" si="10"/>
        <v>239447.36273115221</v>
      </c>
      <c r="FG57" s="8">
        <f t="shared" si="10"/>
        <v>256126.19198416625</v>
      </c>
      <c r="FH57" s="8">
        <f t="shared" si="10"/>
        <v>261167.07868020303</v>
      </c>
      <c r="FI57" s="8">
        <f t="shared" si="10"/>
        <v>318863.95880361175</v>
      </c>
      <c r="FJ57" s="8">
        <f t="shared" si="10"/>
        <v>235845.38208955224</v>
      </c>
      <c r="FK57" s="8">
        <f t="shared" si="10"/>
        <v>231479.95874263262</v>
      </c>
      <c r="FL57" s="8">
        <f t="shared" si="11"/>
        <v>210304.97435897434</v>
      </c>
      <c r="FM57" s="8">
        <f t="shared" si="11"/>
        <v>277752.13341204252</v>
      </c>
      <c r="FN57" s="8">
        <f t="shared" si="11"/>
        <v>195827.19073569484</v>
      </c>
      <c r="FO57" s="8">
        <f t="shared" si="11"/>
        <v>180474.46684350132</v>
      </c>
      <c r="FP57" s="8">
        <f t="shared" si="11"/>
        <v>244143.70881226053</v>
      </c>
      <c r="FQ57" s="5">
        <f t="shared" si="11"/>
        <v>252578.71457022789</v>
      </c>
      <c r="FR57" s="8">
        <f t="shared" si="11"/>
        <v>0</v>
      </c>
      <c r="FS57" s="8">
        <f t="shared" si="11"/>
        <v>446063.93617021275</v>
      </c>
      <c r="FT57" s="8">
        <f t="shared" si="11"/>
        <v>258650.32487562188</v>
      </c>
      <c r="FU57" s="8">
        <f t="shared" si="11"/>
        <v>251690.25958378971</v>
      </c>
      <c r="FV57" s="8">
        <f t="shared" si="11"/>
        <v>266507.87807139545</v>
      </c>
      <c r="FW57" s="8">
        <f t="shared" si="11"/>
        <v>222931.55057167987</v>
      </c>
      <c r="FX57" s="8">
        <f t="shared" si="11"/>
        <v>205130.00472813239</v>
      </c>
      <c r="FY57" s="8">
        <f t="shared" si="11"/>
        <v>239514.90960854091</v>
      </c>
      <c r="FZ57" s="8">
        <f t="shared" si="11"/>
        <v>258044.11945392491</v>
      </c>
      <c r="GA57" s="8">
        <f t="shared" si="11"/>
        <v>260199.57515527951</v>
      </c>
      <c r="GB57" s="8">
        <f t="shared" si="12"/>
        <v>318468.37310073158</v>
      </c>
      <c r="GC57" s="8">
        <f t="shared" si="12"/>
        <v>236142.79145978153</v>
      </c>
      <c r="GD57" s="8">
        <f t="shared" si="12"/>
        <v>231689.56496062991</v>
      </c>
      <c r="GE57" s="8">
        <f t="shared" si="12"/>
        <v>210377.6693548387</v>
      </c>
      <c r="GF57" s="8">
        <f t="shared" si="12"/>
        <v>277869.14083677076</v>
      </c>
      <c r="GG57" s="8">
        <f t="shared" si="12"/>
        <v>195677.92876712329</v>
      </c>
      <c r="GH57" s="8">
        <f t="shared" si="12"/>
        <v>180368.67330677292</v>
      </c>
      <c r="GI57" s="8">
        <f t="shared" si="12"/>
        <v>244390.41538461539</v>
      </c>
      <c r="GJ57" s="5">
        <f t="shared" si="12"/>
        <v>253159.83031704952</v>
      </c>
      <c r="GK57" s="8">
        <f t="shared" si="12"/>
        <v>0</v>
      </c>
      <c r="GL57" s="8">
        <f t="shared" si="12"/>
        <v>446410.05924170616</v>
      </c>
      <c r="GM57" s="8">
        <f t="shared" si="12"/>
        <v>258495.87444389521</v>
      </c>
      <c r="GN57" s="8">
        <f t="shared" si="12"/>
        <v>251578.83552151715</v>
      </c>
      <c r="GO57" s="8">
        <f t="shared" si="12"/>
        <v>258594.66542056075</v>
      </c>
      <c r="GP57" s="8">
        <f t="shared" si="12"/>
        <v>222745.97285464098</v>
      </c>
      <c r="GQ57" s="8">
        <f t="shared" si="12"/>
        <v>202475.50549450549</v>
      </c>
      <c r="GR57" s="8">
        <f t="shared" si="13"/>
        <v>240077.74050179211</v>
      </c>
      <c r="GS57" s="8">
        <f t="shared" si="13"/>
        <v>258440.92110358179</v>
      </c>
      <c r="GT57" s="8">
        <f t="shared" si="13"/>
        <v>259867.62469733655</v>
      </c>
      <c r="GU57" s="8">
        <f t="shared" si="13"/>
        <v>315040.01635768812</v>
      </c>
      <c r="GV57" s="8">
        <f t="shared" si="13"/>
        <v>237882.55270935962</v>
      </c>
      <c r="GW57" s="8">
        <f t="shared" si="13"/>
        <v>231766.5663716814</v>
      </c>
      <c r="GX57" s="8">
        <f t="shared" si="13"/>
        <v>209825.27718832891</v>
      </c>
      <c r="GY57" s="8">
        <f t="shared" si="13"/>
        <v>277717.75878220139</v>
      </c>
      <c r="GZ57" s="8">
        <f t="shared" si="13"/>
        <v>196127.70572207085</v>
      </c>
      <c r="HA57" s="8">
        <f t="shared" si="13"/>
        <v>180365.51915455746</v>
      </c>
      <c r="HB57" s="8">
        <f t="shared" si="13"/>
        <v>248161.9180327869</v>
      </c>
      <c r="HC57" s="5">
        <f t="shared" si="13"/>
        <v>252680.85374107125</v>
      </c>
      <c r="HD57" s="8">
        <f t="shared" si="13"/>
        <v>0</v>
      </c>
      <c r="HE57" s="8">
        <f t="shared" si="13"/>
        <v>459224.64120370371</v>
      </c>
      <c r="HF57" s="8">
        <f t="shared" si="13"/>
        <v>258299.69094488188</v>
      </c>
      <c r="HG57" s="8">
        <f t="shared" si="13"/>
        <v>251670.19534376136</v>
      </c>
      <c r="HH57" s="8">
        <f t="shared" si="14"/>
        <v>258570.64513151822</v>
      </c>
      <c r="HI57" s="8">
        <f t="shared" si="14"/>
        <v>223272.48024582968</v>
      </c>
      <c r="HJ57" s="8">
        <f t="shared" si="14"/>
        <v>201879.66596194502</v>
      </c>
      <c r="HK57" s="8">
        <f t="shared" si="14"/>
        <v>240204.1870967742</v>
      </c>
      <c r="HL57" s="8">
        <f t="shared" si="14"/>
        <v>259008.60894660893</v>
      </c>
      <c r="HM57" s="8">
        <f t="shared" si="14"/>
        <v>259906.37318840579</v>
      </c>
      <c r="HN57" s="8">
        <f t="shared" si="14"/>
        <v>312397.32228754676</v>
      </c>
      <c r="HO57" s="8">
        <f t="shared" si="14"/>
        <v>238083.97173489278</v>
      </c>
      <c r="HP57" s="8">
        <f t="shared" si="14"/>
        <v>231418.21476510068</v>
      </c>
      <c r="HQ57" s="8">
        <f t="shared" si="14"/>
        <v>209128.83875162547</v>
      </c>
      <c r="HR57" s="8">
        <f t="shared" si="14"/>
        <v>278491.15956842701</v>
      </c>
      <c r="HS57" s="8">
        <f t="shared" si="14"/>
        <v>196204.12466124661</v>
      </c>
      <c r="HT57" s="8">
        <f t="shared" si="14"/>
        <v>180322.20921052631</v>
      </c>
      <c r="HU57" s="8">
        <f t="shared" si="14"/>
        <v>251151.83783783784</v>
      </c>
      <c r="HV57" s="5">
        <f t="shared" si="14"/>
        <v>253484.36275768423</v>
      </c>
      <c r="HW57" s="8"/>
      <c r="HX57" s="8"/>
      <c r="HY57" s="8"/>
      <c r="HZ57" s="8"/>
      <c r="IA57" s="8"/>
      <c r="IB57" s="8"/>
      <c r="IC57" s="8"/>
      <c r="ID57" s="8"/>
      <c r="IE57" s="8"/>
      <c r="IF57" s="8"/>
      <c r="IG57" s="8"/>
      <c r="IH57" s="8"/>
      <c r="II57" s="8"/>
      <c r="IJ57" s="8"/>
      <c r="IK57" s="8"/>
      <c r="IL57" s="8"/>
      <c r="IM57" s="8"/>
      <c r="IN57" s="8"/>
      <c r="IO57" s="8"/>
    </row>
    <row r="58" spans="1:249" hidden="1" x14ac:dyDescent="0.4">
      <c r="B58" t="s">
        <v>39</v>
      </c>
      <c r="C58" s="2"/>
      <c r="D58" s="2">
        <v>0</v>
      </c>
      <c r="E58" s="2">
        <v>26715.574443480775</v>
      </c>
      <c r="F58" s="2">
        <v>21719.300454545453</v>
      </c>
      <c r="G58" s="2">
        <v>22152.531804972554</v>
      </c>
      <c r="H58" s="2">
        <v>30537.997950819674</v>
      </c>
      <c r="I58" s="2">
        <v>22715.32423296932</v>
      </c>
      <c r="J58" s="2">
        <v>23187.104410256412</v>
      </c>
      <c r="K58" s="2">
        <v>27934.222742344449</v>
      </c>
      <c r="L58" s="2">
        <v>22373.965627864345</v>
      </c>
      <c r="M58" s="2">
        <v>27434.413039417148</v>
      </c>
      <c r="N58" s="2">
        <v>28349.76723163842</v>
      </c>
      <c r="O58" s="2">
        <v>35587.702789542862</v>
      </c>
      <c r="P58" s="2">
        <v>27958.952211489577</v>
      </c>
      <c r="Q58" s="2">
        <v>24168.968559178902</v>
      </c>
      <c r="R58" s="2">
        <v>21928.249655172414</v>
      </c>
      <c r="S58" s="2">
        <v>26142.335249042146</v>
      </c>
      <c r="T58" s="2">
        <v>21023.599639082237</v>
      </c>
      <c r="U58" s="5">
        <v>25495.878156718223</v>
      </c>
      <c r="V58" s="2"/>
      <c r="W58" s="2">
        <v>0</v>
      </c>
      <c r="X58" s="2">
        <v>26715.574443480775</v>
      </c>
      <c r="Y58" s="2">
        <v>21719.300454545453</v>
      </c>
      <c r="Z58" s="2">
        <v>22152.531804972554</v>
      </c>
      <c r="AA58" s="2">
        <v>30537.997950819674</v>
      </c>
      <c r="AB58" s="2">
        <v>22715.32423296932</v>
      </c>
      <c r="AC58" s="2">
        <v>23187.104410256412</v>
      </c>
      <c r="AD58" s="2">
        <v>27934.222742344449</v>
      </c>
      <c r="AE58" s="2">
        <v>22373.965627864345</v>
      </c>
      <c r="AF58" s="2">
        <v>27434.413039417148</v>
      </c>
      <c r="AG58" s="2">
        <v>28349.76723163842</v>
      </c>
      <c r="AH58" s="2">
        <v>35587.702789542862</v>
      </c>
      <c r="AI58" s="2">
        <v>27958.952211489577</v>
      </c>
      <c r="AJ58" s="2">
        <v>24168.968559178902</v>
      </c>
      <c r="AK58" s="2">
        <v>21928.249655172414</v>
      </c>
      <c r="AL58" s="2">
        <v>26142.335249042146</v>
      </c>
      <c r="AM58" s="2">
        <v>21023.599639082237</v>
      </c>
      <c r="AN58" s="5">
        <f>+U19</f>
        <v>25198.629752081655</v>
      </c>
      <c r="AO58" s="2">
        <f t="shared" si="3"/>
        <v>0</v>
      </c>
      <c r="AP58" s="2">
        <f t="shared" si="3"/>
        <v>0</v>
      </c>
      <c r="AQ58" s="2">
        <f t="shared" si="3"/>
        <v>26620.799999999999</v>
      </c>
      <c r="AR58" s="2">
        <f t="shared" si="3"/>
        <v>21610.601057579319</v>
      </c>
      <c r="AS58" s="2">
        <f t="shared" si="3"/>
        <v>22867.975578406171</v>
      </c>
      <c r="AT58" s="2">
        <f t="shared" si="3"/>
        <v>25430.204968944101</v>
      </c>
      <c r="AU58" s="2">
        <f t="shared" si="3"/>
        <v>23214.461577738064</v>
      </c>
      <c r="AV58" s="2">
        <f t="shared" si="3"/>
        <v>23206.554507127083</v>
      </c>
      <c r="AW58" s="2">
        <f t="shared" si="3"/>
        <v>27677.917187796098</v>
      </c>
      <c r="AX58" s="2">
        <f t="shared" si="3"/>
        <v>23400.448150833938</v>
      </c>
      <c r="AY58" s="2">
        <f t="shared" si="3"/>
        <v>26881.832136445242</v>
      </c>
      <c r="AZ58" s="2">
        <f t="shared" si="3"/>
        <v>27689.670882518269</v>
      </c>
      <c r="BA58" s="2">
        <f t="shared" si="3"/>
        <v>31630.226028378958</v>
      </c>
      <c r="BB58" s="2">
        <f t="shared" si="3"/>
        <v>28545.116480162767</v>
      </c>
      <c r="BC58" s="2">
        <f t="shared" si="3"/>
        <v>23925.641224282448</v>
      </c>
      <c r="BD58" s="2">
        <f t="shared" si="4"/>
        <v>21561.867989056089</v>
      </c>
      <c r="BE58" s="2">
        <f t="shared" si="4"/>
        <v>25298.123339658443</v>
      </c>
      <c r="BF58" s="2">
        <f t="shared" si="4"/>
        <v>20845.036609829487</v>
      </c>
      <c r="BG58" s="5">
        <f t="shared" si="4"/>
        <v>25025.404857422276</v>
      </c>
      <c r="BH58" s="2">
        <f t="shared" si="4"/>
        <v>0</v>
      </c>
      <c r="BI58" s="2">
        <f t="shared" si="4"/>
        <v>0</v>
      </c>
      <c r="BJ58" s="2">
        <f t="shared" si="4"/>
        <v>26528.059437518121</v>
      </c>
      <c r="BK58" s="2">
        <f t="shared" si="4"/>
        <v>21573.639461752231</v>
      </c>
      <c r="BL58" s="2">
        <f t="shared" si="4"/>
        <v>22713.851798561151</v>
      </c>
      <c r="BM58" s="2">
        <f t="shared" si="4"/>
        <v>27669.460652591169</v>
      </c>
      <c r="BN58" s="2">
        <f t="shared" si="4"/>
        <v>23157.791352438413</v>
      </c>
      <c r="BO58" s="2">
        <f t="shared" si="4"/>
        <v>23099.876673995601</v>
      </c>
      <c r="BP58" s="2">
        <f t="shared" si="4"/>
        <v>27539.632645403377</v>
      </c>
      <c r="BQ58" s="2">
        <f t="shared" si="4"/>
        <v>23317.877265039864</v>
      </c>
      <c r="BR58" s="2">
        <f t="shared" si="4"/>
        <v>26910.699503897944</v>
      </c>
      <c r="BS58" s="2">
        <f t="shared" si="4"/>
        <v>27735.326852634546</v>
      </c>
      <c r="BT58" s="2">
        <f t="shared" si="5"/>
        <v>31286.324208725408</v>
      </c>
      <c r="BU58" s="2">
        <f t="shared" si="5"/>
        <v>28456.784154393092</v>
      </c>
      <c r="BV58" s="2">
        <f t="shared" si="5"/>
        <v>23888.036966704647</v>
      </c>
      <c r="BW58" s="2">
        <f t="shared" si="5"/>
        <v>21388.456304202802</v>
      </c>
      <c r="BX58" s="2">
        <f t="shared" si="5"/>
        <v>25397.919540229886</v>
      </c>
      <c r="BY58" s="2">
        <f t="shared" si="5"/>
        <v>20826.613205222962</v>
      </c>
      <c r="BZ58" s="5">
        <f t="shared" si="5"/>
        <v>25093.146876456947</v>
      </c>
      <c r="CA58" s="2">
        <f t="shared" si="5"/>
        <v>0</v>
      </c>
      <c r="CB58" s="2">
        <f t="shared" si="5"/>
        <v>0</v>
      </c>
      <c r="CC58" s="2">
        <f t="shared" si="5"/>
        <v>35209.707723227104</v>
      </c>
      <c r="CD58" s="2">
        <f t="shared" si="5"/>
        <v>21595.336031218383</v>
      </c>
      <c r="CE58" s="2">
        <f t="shared" si="5"/>
        <v>22679.026808375635</v>
      </c>
      <c r="CF58" s="2">
        <f t="shared" si="5"/>
        <v>26897.874762808347</v>
      </c>
      <c r="CG58" s="2">
        <f t="shared" si="5"/>
        <v>23176.909411172623</v>
      </c>
      <c r="CH58" s="2">
        <f t="shared" si="5"/>
        <v>23114.655770380705</v>
      </c>
      <c r="CI58" s="2">
        <f t="shared" si="5"/>
        <v>27564.05564708036</v>
      </c>
      <c r="CJ58" s="2">
        <f t="shared" si="6"/>
        <v>23343.806765636407</v>
      </c>
      <c r="CK58" s="2">
        <f t="shared" si="6"/>
        <v>26893.010280042537</v>
      </c>
      <c r="CL58" s="2">
        <f t="shared" si="6"/>
        <v>27662.840231788079</v>
      </c>
      <c r="CM58" s="2">
        <f t="shared" si="6"/>
        <v>31047.050915649277</v>
      </c>
      <c r="CN58" s="2">
        <f t="shared" si="6"/>
        <v>28339.146231155781</v>
      </c>
      <c r="CO58" s="2">
        <f t="shared" si="6"/>
        <v>23467.214636604105</v>
      </c>
      <c r="CP58" s="2">
        <f t="shared" si="6"/>
        <v>25010.803288672352</v>
      </c>
      <c r="CQ58" s="2">
        <f t="shared" si="6"/>
        <v>25408.634285714284</v>
      </c>
      <c r="CR58" s="2">
        <f t="shared" si="6"/>
        <v>20884.826224713623</v>
      </c>
      <c r="CS58" s="5">
        <f t="shared" si="6"/>
        <v>25768.431188389979</v>
      </c>
      <c r="CT58" s="2">
        <f t="shared" si="6"/>
        <v>0</v>
      </c>
      <c r="CU58" s="2">
        <f t="shared" si="6"/>
        <v>0</v>
      </c>
      <c r="CV58" s="2">
        <f t="shared" si="6"/>
        <v>35219.368135011442</v>
      </c>
      <c r="CW58" s="2">
        <f t="shared" si="6"/>
        <v>21585.665701042875</v>
      </c>
      <c r="CX58" s="2">
        <f t="shared" si="6"/>
        <v>22682.340015910901</v>
      </c>
      <c r="CY58" s="2">
        <f t="shared" si="6"/>
        <v>26940.95785440613</v>
      </c>
      <c r="CZ58" s="2">
        <f t="shared" si="7"/>
        <v>23191.400450225112</v>
      </c>
      <c r="DA58" s="2">
        <f t="shared" si="7"/>
        <v>23189.326942280808</v>
      </c>
      <c r="DB58" s="2">
        <f t="shared" si="7"/>
        <v>27599.603310294653</v>
      </c>
      <c r="DC58" s="2">
        <f t="shared" si="7"/>
        <v>23390.929618768329</v>
      </c>
      <c r="DD58" s="2">
        <f t="shared" si="7"/>
        <v>26972.077533039646</v>
      </c>
      <c r="DE58" s="2">
        <f t="shared" si="7"/>
        <v>27577.150435255713</v>
      </c>
      <c r="DF58" s="2">
        <f t="shared" si="7"/>
        <v>31075.135750306665</v>
      </c>
      <c r="DG58" s="2">
        <f t="shared" si="7"/>
        <v>28272.382308845576</v>
      </c>
      <c r="DH58" s="2">
        <f t="shared" si="7"/>
        <v>23382.793350963355</v>
      </c>
      <c r="DI58" s="2">
        <f t="shared" si="7"/>
        <v>20878.787271655863</v>
      </c>
      <c r="DJ58" s="2">
        <f t="shared" si="7"/>
        <v>25320.495238095238</v>
      </c>
      <c r="DK58" s="2">
        <f t="shared" si="7"/>
        <v>20896.192680562286</v>
      </c>
      <c r="DL58" s="5">
        <f t="shared" si="7"/>
        <v>25510.912912291533</v>
      </c>
      <c r="DM58" s="2">
        <f t="shared" si="7"/>
        <v>0</v>
      </c>
      <c r="DN58" s="2">
        <f t="shared" si="7"/>
        <v>0</v>
      </c>
      <c r="DO58" s="2">
        <f t="shared" si="7"/>
        <v>35263.076725613231</v>
      </c>
      <c r="DP58" s="2">
        <f t="shared" si="8"/>
        <v>21514.428510638299</v>
      </c>
      <c r="DQ58" s="2">
        <f t="shared" si="8"/>
        <v>22619.935046507962</v>
      </c>
      <c r="DR58" s="2">
        <f t="shared" si="8"/>
        <v>27316.030245746693</v>
      </c>
      <c r="DS58" s="2">
        <f t="shared" si="8"/>
        <v>23002.354862842894</v>
      </c>
      <c r="DT58" s="2">
        <f t="shared" si="8"/>
        <v>23144.684652278178</v>
      </c>
      <c r="DU58" s="2">
        <f t="shared" si="8"/>
        <v>27446.014833127319</v>
      </c>
      <c r="DV58" s="2">
        <f t="shared" si="8"/>
        <v>23357.658055081647</v>
      </c>
      <c r="DW58" s="2">
        <f t="shared" si="8"/>
        <v>26798.052790079717</v>
      </c>
      <c r="DX58" s="2">
        <f t="shared" si="8"/>
        <v>27232.365887207703</v>
      </c>
      <c r="DY58" s="2">
        <f t="shared" si="8"/>
        <v>30803.142570281125</v>
      </c>
      <c r="DZ58" s="2">
        <f t="shared" si="8"/>
        <v>28233.517121588091</v>
      </c>
      <c r="EA58" s="2">
        <f t="shared" si="8"/>
        <v>23207.998862631113</v>
      </c>
      <c r="EB58" s="2">
        <f t="shared" si="8"/>
        <v>20779.088888888888</v>
      </c>
      <c r="EC58" s="2">
        <f t="shared" si="8"/>
        <v>24820.996323529413</v>
      </c>
      <c r="ED58" s="2">
        <f t="shared" si="8"/>
        <v>20893.563400576368</v>
      </c>
      <c r="EE58" s="5">
        <f t="shared" si="8"/>
        <v>25402.056798538666</v>
      </c>
      <c r="EF58" s="2">
        <f t="shared" si="9"/>
        <v>0</v>
      </c>
      <c r="EG58" s="2">
        <f t="shared" si="9"/>
        <v>57000</v>
      </c>
      <c r="EH58" s="2">
        <f t="shared" si="9"/>
        <v>35181.846785613139</v>
      </c>
      <c r="EI58" s="2">
        <f t="shared" si="9"/>
        <v>21528.379855911851</v>
      </c>
      <c r="EJ58" s="2">
        <f t="shared" si="9"/>
        <v>22538.570737794416</v>
      </c>
      <c r="EK58" s="2">
        <f t="shared" si="9"/>
        <v>27337.438794726932</v>
      </c>
      <c r="EL58" s="2">
        <f t="shared" si="9"/>
        <v>26998.148227456579</v>
      </c>
      <c r="EM58" s="2">
        <f t="shared" si="9"/>
        <v>23172.632133624975</v>
      </c>
      <c r="EN58" s="2">
        <f t="shared" si="9"/>
        <v>27364.383891213391</v>
      </c>
      <c r="EO58" s="2">
        <f t="shared" si="9"/>
        <v>23188.214111922141</v>
      </c>
      <c r="EP58" s="2">
        <f t="shared" si="9"/>
        <v>26788.386661936856</v>
      </c>
      <c r="EQ58" s="2">
        <f t="shared" si="9"/>
        <v>27210.059517426274</v>
      </c>
      <c r="ER58" s="2">
        <f t="shared" si="9"/>
        <v>30800.59495686795</v>
      </c>
      <c r="ES58" s="2">
        <f t="shared" si="9"/>
        <v>28176.790709046454</v>
      </c>
      <c r="ET58" s="2">
        <f t="shared" si="9"/>
        <v>23669.449913430621</v>
      </c>
      <c r="EU58" s="2">
        <f t="shared" si="9"/>
        <v>20694.047508690615</v>
      </c>
      <c r="EV58" s="2">
        <f t="shared" si="10"/>
        <v>24797.80366972477</v>
      </c>
      <c r="EW58" s="2">
        <f t="shared" si="10"/>
        <v>20980.982091690545</v>
      </c>
      <c r="EX58" s="5">
        <f t="shared" si="10"/>
        <v>27495.748798063389</v>
      </c>
      <c r="EY58" s="2">
        <f t="shared" si="10"/>
        <v>0</v>
      </c>
      <c r="EZ58" s="2">
        <f t="shared" si="10"/>
        <v>57000</v>
      </c>
      <c r="FA58" s="2">
        <f t="shared" si="10"/>
        <v>35275.018734033496</v>
      </c>
      <c r="FB58" s="2">
        <f t="shared" si="10"/>
        <v>21500.917075908517</v>
      </c>
      <c r="FC58" s="2">
        <f t="shared" si="10"/>
        <v>22826.314374034002</v>
      </c>
      <c r="FD58" s="2">
        <f t="shared" si="10"/>
        <v>27371.152255639099</v>
      </c>
      <c r="FE58" s="2">
        <f t="shared" si="10"/>
        <v>27063.467784431137</v>
      </c>
      <c r="FF58" s="2">
        <f t="shared" si="10"/>
        <v>23206.206245027843</v>
      </c>
      <c r="FG58" s="2">
        <f t="shared" si="10"/>
        <v>27264.725021795988</v>
      </c>
      <c r="FH58" s="2">
        <f t="shared" si="10"/>
        <v>23227.271889400923</v>
      </c>
      <c r="FI58" s="2">
        <f t="shared" si="10"/>
        <v>26813.438811810742</v>
      </c>
      <c r="FJ58" s="2">
        <f t="shared" si="10"/>
        <v>27313.603283898305</v>
      </c>
      <c r="FK58" s="2">
        <f t="shared" si="10"/>
        <v>30680.015358361776</v>
      </c>
      <c r="FL58" s="2">
        <f t="shared" si="11"/>
        <v>28167.927799607074</v>
      </c>
      <c r="FM58" s="2">
        <f t="shared" si="11"/>
        <v>23647.861950801616</v>
      </c>
      <c r="FN58" s="2">
        <f t="shared" si="11"/>
        <v>20654.811536264991</v>
      </c>
      <c r="FO58" s="2">
        <f t="shared" si="11"/>
        <v>24817.65561694291</v>
      </c>
      <c r="FP58" s="2">
        <f t="shared" si="11"/>
        <v>21012.846467065869</v>
      </c>
      <c r="FQ58" s="5">
        <f t="shared" si="11"/>
        <v>27520.190247354371</v>
      </c>
      <c r="FR58" s="2">
        <f t="shared" si="11"/>
        <v>0</v>
      </c>
      <c r="FS58" s="2">
        <f t="shared" si="11"/>
        <v>57000</v>
      </c>
      <c r="FT58" s="2">
        <f t="shared" si="11"/>
        <v>35245.208015805816</v>
      </c>
      <c r="FU58" s="2">
        <f t="shared" si="11"/>
        <v>21661.42620439989</v>
      </c>
      <c r="FV58" s="2">
        <f t="shared" si="11"/>
        <v>22682.102521008404</v>
      </c>
      <c r="FW58" s="2">
        <f t="shared" si="11"/>
        <v>27407.215355805245</v>
      </c>
      <c r="FX58" s="2">
        <f t="shared" si="11"/>
        <v>27074.330055169106</v>
      </c>
      <c r="FY58" s="2">
        <f t="shared" si="11"/>
        <v>23228.90027810886</v>
      </c>
      <c r="FZ58" s="2">
        <f t="shared" si="11"/>
        <v>27307.602290473711</v>
      </c>
      <c r="GA58" s="2">
        <f t="shared" si="11"/>
        <v>23246.128543969244</v>
      </c>
      <c r="GB58" s="2">
        <f t="shared" si="12"/>
        <v>26796.214094558429</v>
      </c>
      <c r="GC58" s="2">
        <f t="shared" si="12"/>
        <v>27158.395212765958</v>
      </c>
      <c r="GD58" s="2">
        <f t="shared" si="12"/>
        <v>30689.97486252946</v>
      </c>
      <c r="GE58" s="2">
        <f t="shared" si="12"/>
        <v>28337.212818003914</v>
      </c>
      <c r="GF58" s="2">
        <f t="shared" si="12"/>
        <v>23649.848132271891</v>
      </c>
      <c r="GG58" s="2">
        <f t="shared" si="12"/>
        <v>20721.172860360359</v>
      </c>
      <c r="GH58" s="2">
        <f t="shared" si="12"/>
        <v>24760.214953271028</v>
      </c>
      <c r="GI58" s="2">
        <f t="shared" si="12"/>
        <v>21026.766388557808</v>
      </c>
      <c r="GJ58" s="5">
        <f t="shared" si="12"/>
        <v>27528.983093356415</v>
      </c>
      <c r="GK58" s="2">
        <f t="shared" si="12"/>
        <v>0</v>
      </c>
      <c r="GL58" s="2">
        <f t="shared" si="12"/>
        <v>57000</v>
      </c>
      <c r="GM58" s="2">
        <f t="shared" si="12"/>
        <v>35316.495753114381</v>
      </c>
      <c r="GN58" s="2">
        <f t="shared" si="12"/>
        <v>21538.942053210754</v>
      </c>
      <c r="GO58" s="2">
        <f t="shared" si="12"/>
        <v>22409.218625345198</v>
      </c>
      <c r="GP58" s="2">
        <f t="shared" si="12"/>
        <v>27432.114877589454</v>
      </c>
      <c r="GQ58" s="2">
        <f t="shared" si="12"/>
        <v>26997.062335801289</v>
      </c>
      <c r="GR58" s="2">
        <f t="shared" si="13"/>
        <v>23286.06056983463</v>
      </c>
      <c r="GS58" s="2">
        <f t="shared" si="13"/>
        <v>27554.399757827367</v>
      </c>
      <c r="GT58" s="2">
        <f t="shared" si="13"/>
        <v>23241.96122546673</v>
      </c>
      <c r="GU58" s="2">
        <f t="shared" si="13"/>
        <v>26760.869278717721</v>
      </c>
      <c r="GV58" s="2">
        <f t="shared" si="13"/>
        <v>27110.653180729307</v>
      </c>
      <c r="GW58" s="2">
        <f t="shared" si="13"/>
        <v>30724.974416163735</v>
      </c>
      <c r="GX58" s="2">
        <f t="shared" si="13"/>
        <v>28396.535556645413</v>
      </c>
      <c r="GY58" s="2">
        <f t="shared" si="13"/>
        <v>23642.826852976912</v>
      </c>
      <c r="GZ58" s="2">
        <f t="shared" si="13"/>
        <v>20751.515185601798</v>
      </c>
      <c r="HA58" s="2">
        <f t="shared" si="13"/>
        <v>25171.357407407406</v>
      </c>
      <c r="HB58" s="2">
        <f t="shared" si="13"/>
        <v>21285.884386174017</v>
      </c>
      <c r="HC58" s="5">
        <f t="shared" si="13"/>
        <v>27565.933615447422</v>
      </c>
      <c r="HD58" s="2">
        <f t="shared" si="13"/>
        <v>0</v>
      </c>
      <c r="HE58" s="2">
        <f t="shared" si="13"/>
        <v>135352.9411764706</v>
      </c>
      <c r="HF58" s="2">
        <f t="shared" si="13"/>
        <v>35447.463961407491</v>
      </c>
      <c r="HG58" s="2">
        <f t="shared" si="13"/>
        <v>21602.982319365168</v>
      </c>
      <c r="HH58" s="2">
        <f t="shared" si="14"/>
        <v>22075.181070597362</v>
      </c>
      <c r="HI58" s="2">
        <f t="shared" si="14"/>
        <v>27354.594646271511</v>
      </c>
      <c r="HJ58" s="2">
        <f t="shared" si="14"/>
        <v>27037.564287430905</v>
      </c>
      <c r="HK58" s="2">
        <f t="shared" si="14"/>
        <v>23283.580099502487</v>
      </c>
      <c r="HL58" s="2">
        <f t="shared" si="14"/>
        <v>27504.331510594668</v>
      </c>
      <c r="HM58" s="2">
        <f t="shared" si="14"/>
        <v>23275.062096966802</v>
      </c>
      <c r="HN58" s="2">
        <f t="shared" si="14"/>
        <v>26719.338143595225</v>
      </c>
      <c r="HO58" s="2">
        <f t="shared" si="14"/>
        <v>27176.540367705835</v>
      </c>
      <c r="HP58" s="2">
        <f t="shared" si="14"/>
        <v>30787.34222045364</v>
      </c>
      <c r="HQ58" s="2">
        <f t="shared" si="14"/>
        <v>28856.8876953125</v>
      </c>
      <c r="HR58" s="2">
        <f t="shared" si="14"/>
        <v>23622.794242681892</v>
      </c>
      <c r="HS58" s="2">
        <f t="shared" si="14"/>
        <v>20865.296063890473</v>
      </c>
      <c r="HT58" s="2">
        <f t="shared" si="14"/>
        <v>25117.102996254682</v>
      </c>
      <c r="HU58" s="2">
        <f t="shared" si="14"/>
        <v>21281.631028747921</v>
      </c>
      <c r="HV58" s="5">
        <f t="shared" si="14"/>
        <v>32197.684348661707</v>
      </c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</row>
    <row r="59" spans="1:249" hidden="1" x14ac:dyDescent="0.4">
      <c r="B59" t="s">
        <v>38</v>
      </c>
      <c r="C59" s="2"/>
      <c r="D59" s="2">
        <v>0</v>
      </c>
      <c r="E59" s="2">
        <v>115177.74289405685</v>
      </c>
      <c r="F59" s="2">
        <v>101333.64407778432</v>
      </c>
      <c r="G59" s="2">
        <v>108198.89054404145</v>
      </c>
      <c r="H59" s="2">
        <v>105225.7372881356</v>
      </c>
      <c r="I59" s="2">
        <v>93668.444300518138</v>
      </c>
      <c r="J59" s="2">
        <v>95470.738693467341</v>
      </c>
      <c r="K59" s="2">
        <v>106180.3299725023</v>
      </c>
      <c r="L59" s="2">
        <v>121215.38721528288</v>
      </c>
      <c r="M59" s="2">
        <v>107776.40896487985</v>
      </c>
      <c r="N59" s="2">
        <v>113406.14131736527</v>
      </c>
      <c r="O59" s="2">
        <v>105817.32775919733</v>
      </c>
      <c r="P59" s="2">
        <v>108201.79175257732</v>
      </c>
      <c r="Q59" s="2">
        <v>111426.85526979325</v>
      </c>
      <c r="R59" s="2">
        <v>89361.649425287353</v>
      </c>
      <c r="S59" s="2">
        <v>92475.987421383645</v>
      </c>
      <c r="T59" s="2">
        <v>92815.155448717953</v>
      </c>
      <c r="U59" s="5">
        <v>106829.23291846583</v>
      </c>
      <c r="V59" s="2"/>
      <c r="W59" s="2">
        <v>0</v>
      </c>
      <c r="X59" s="2">
        <v>115177.74289405685</v>
      </c>
      <c r="Y59" s="2">
        <v>101333.64407778432</v>
      </c>
      <c r="Z59" s="2">
        <v>108198.89054404145</v>
      </c>
      <c r="AA59" s="2">
        <v>105225.7372881356</v>
      </c>
      <c r="AB59" s="2">
        <v>93668.444300518138</v>
      </c>
      <c r="AC59" s="2">
        <v>95470.738693467341</v>
      </c>
      <c r="AD59" s="2">
        <v>106180.3299725023</v>
      </c>
      <c r="AE59" s="2">
        <v>121215.38721528288</v>
      </c>
      <c r="AF59" s="2">
        <v>107776.40896487985</v>
      </c>
      <c r="AG59" s="2">
        <v>113406.14131736527</v>
      </c>
      <c r="AH59" s="2">
        <v>105817.32775919733</v>
      </c>
      <c r="AI59" s="2">
        <v>108201.79175257732</v>
      </c>
      <c r="AJ59" s="2">
        <v>111426.85526979325</v>
      </c>
      <c r="AK59" s="2">
        <v>89361.649425287353</v>
      </c>
      <c r="AL59" s="2">
        <v>92475.987421383645</v>
      </c>
      <c r="AM59" s="2">
        <v>92815.155448717953</v>
      </c>
      <c r="AN59" s="5">
        <f t="shared" si="3"/>
        <v>102727.71971526409</v>
      </c>
      <c r="AO59" s="2">
        <f t="shared" si="3"/>
        <v>0</v>
      </c>
      <c r="AP59" s="2">
        <f t="shared" si="3"/>
        <v>0</v>
      </c>
      <c r="AQ59" s="2">
        <f t="shared" si="3"/>
        <v>116057.95189873417</v>
      </c>
      <c r="AR59" s="2">
        <f t="shared" si="3"/>
        <v>102432.32099479467</v>
      </c>
      <c r="AS59" s="2">
        <f t="shared" si="3"/>
        <v>111341.91651651652</v>
      </c>
      <c r="AT59" s="2">
        <f t="shared" si="3"/>
        <v>95983.362903225803</v>
      </c>
      <c r="AU59" s="2">
        <f t="shared" si="3"/>
        <v>94859.428754813867</v>
      </c>
      <c r="AV59" s="2">
        <f t="shared" si="3"/>
        <v>96529.427852348992</v>
      </c>
      <c r="AW59" s="2">
        <f t="shared" si="3"/>
        <v>107540.85341726619</v>
      </c>
      <c r="AX59" s="2">
        <f t="shared" si="3"/>
        <v>97622.634517766492</v>
      </c>
      <c r="AY59" s="2">
        <f t="shared" si="3"/>
        <v>97654.287234042553</v>
      </c>
      <c r="AZ59" s="2">
        <f t="shared" si="3"/>
        <v>119577.16105769231</v>
      </c>
      <c r="BA59" s="2">
        <f t="shared" si="3"/>
        <v>105586.12725779967</v>
      </c>
      <c r="BB59" s="2">
        <f t="shared" si="3"/>
        <v>107894.53169734152</v>
      </c>
      <c r="BC59" s="2">
        <f t="shared" si="3"/>
        <v>108522.60687593423</v>
      </c>
      <c r="BD59" s="2">
        <f t="shared" si="4"/>
        <v>88761.549707602346</v>
      </c>
      <c r="BE59" s="2">
        <f t="shared" si="4"/>
        <v>97890.775757575757</v>
      </c>
      <c r="BF59" s="2">
        <f t="shared" si="4"/>
        <v>93595.210355987059</v>
      </c>
      <c r="BG59" s="5">
        <f t="shared" si="4"/>
        <v>102615.63417496513</v>
      </c>
      <c r="BH59" s="2">
        <f t="shared" si="4"/>
        <v>0</v>
      </c>
      <c r="BI59" s="2">
        <f t="shared" si="4"/>
        <v>400000</v>
      </c>
      <c r="BJ59" s="2">
        <f t="shared" si="4"/>
        <v>116506.1802252816</v>
      </c>
      <c r="BK59" s="2">
        <f t="shared" si="4"/>
        <v>101104.21432632177</v>
      </c>
      <c r="BL59" s="2">
        <f t="shared" si="4"/>
        <v>111105.07784431138</v>
      </c>
      <c r="BM59" s="2">
        <f t="shared" si="4"/>
        <v>95160.082706766916</v>
      </c>
      <c r="BN59" s="2">
        <f t="shared" si="4"/>
        <v>95951.599246231155</v>
      </c>
      <c r="BO59" s="2">
        <f t="shared" si="4"/>
        <v>96284.882059800671</v>
      </c>
      <c r="BP59" s="2">
        <f t="shared" si="4"/>
        <v>107841.22826086957</v>
      </c>
      <c r="BQ59" s="2">
        <f t="shared" si="4"/>
        <v>97622.699159663869</v>
      </c>
      <c r="BR59" s="2">
        <f t="shared" si="4"/>
        <v>97607.403810408927</v>
      </c>
      <c r="BS59" s="2">
        <f t="shared" si="4"/>
        <v>120025.68496420048</v>
      </c>
      <c r="BT59" s="2">
        <f t="shared" si="5"/>
        <v>103900.3982581156</v>
      </c>
      <c r="BU59" s="2">
        <f t="shared" si="5"/>
        <v>106551.17311608962</v>
      </c>
      <c r="BV59" s="2">
        <f t="shared" si="5"/>
        <v>108590.47956131605</v>
      </c>
      <c r="BW59" s="2">
        <f t="shared" si="5"/>
        <v>88730.555555555562</v>
      </c>
      <c r="BX59" s="2">
        <f t="shared" si="5"/>
        <v>97942.569696969702</v>
      </c>
      <c r="BY59" s="2">
        <f t="shared" si="5"/>
        <v>92534.734453781508</v>
      </c>
      <c r="BZ59" s="5">
        <f t="shared" si="5"/>
        <v>119850.52724974614</v>
      </c>
      <c r="CA59" s="2">
        <f t="shared" si="5"/>
        <v>0</v>
      </c>
      <c r="CB59" s="2">
        <f t="shared" si="5"/>
        <v>400000</v>
      </c>
      <c r="CC59" s="2">
        <f t="shared" si="5"/>
        <v>116270.85714285714</v>
      </c>
      <c r="CD59" s="2">
        <f t="shared" si="5"/>
        <v>102518.26463834672</v>
      </c>
      <c r="CE59" s="2">
        <f t="shared" si="5"/>
        <v>111263.37380382775</v>
      </c>
      <c r="CF59" s="2">
        <f t="shared" si="5"/>
        <v>94801.4921875</v>
      </c>
      <c r="CG59" s="2">
        <f t="shared" si="5"/>
        <v>95992.07950310559</v>
      </c>
      <c r="CH59" s="2">
        <f t="shared" si="5"/>
        <v>96136.674380165292</v>
      </c>
      <c r="CI59" s="2">
        <f t="shared" si="5"/>
        <v>107661.78079710146</v>
      </c>
      <c r="CJ59" s="2">
        <f t="shared" si="6"/>
        <v>98919.997536945812</v>
      </c>
      <c r="CK59" s="2">
        <f t="shared" si="6"/>
        <v>97559.816393442627</v>
      </c>
      <c r="CL59" s="2">
        <f t="shared" si="6"/>
        <v>121010.25578562729</v>
      </c>
      <c r="CM59" s="2">
        <f t="shared" si="6"/>
        <v>105075.67914012739</v>
      </c>
      <c r="CN59" s="2">
        <f t="shared" si="6"/>
        <v>104740.24547283702</v>
      </c>
      <c r="CO59" s="2">
        <f t="shared" si="6"/>
        <v>108514.56573705179</v>
      </c>
      <c r="CP59" s="2">
        <f t="shared" si="6"/>
        <v>90052.717948717953</v>
      </c>
      <c r="CQ59" s="2">
        <f t="shared" si="6"/>
        <v>97690.670658682633</v>
      </c>
      <c r="CR59" s="2">
        <f t="shared" si="6"/>
        <v>92501.121008403366</v>
      </c>
      <c r="CS59" s="5">
        <f t="shared" si="6"/>
        <v>120041.74071380826</v>
      </c>
      <c r="CT59" s="2">
        <f t="shared" si="6"/>
        <v>0</v>
      </c>
      <c r="CU59" s="2">
        <f t="shared" si="6"/>
        <v>400000</v>
      </c>
      <c r="CV59" s="2">
        <f t="shared" si="6"/>
        <v>116977.71534653465</v>
      </c>
      <c r="CW59" s="2">
        <f t="shared" si="6"/>
        <v>102616.37535816619</v>
      </c>
      <c r="CX59" s="2">
        <f t="shared" si="6"/>
        <v>111119.89341317365</v>
      </c>
      <c r="CY59" s="2">
        <f t="shared" si="6"/>
        <v>95396.546153846153</v>
      </c>
      <c r="CZ59" s="2">
        <f t="shared" si="7"/>
        <v>95586.770700636946</v>
      </c>
      <c r="DA59" s="2">
        <f t="shared" si="7"/>
        <v>96742.507462686568</v>
      </c>
      <c r="DB59" s="2">
        <f t="shared" si="7"/>
        <v>107705.28947368421</v>
      </c>
      <c r="DC59" s="2">
        <f t="shared" si="7"/>
        <v>99119.368421052626</v>
      </c>
      <c r="DD59" s="2">
        <f t="shared" si="7"/>
        <v>97246.694955209809</v>
      </c>
      <c r="DE59" s="2">
        <f t="shared" si="7"/>
        <v>121558.41463414633</v>
      </c>
      <c r="DF59" s="2">
        <f t="shared" si="7"/>
        <v>105130.55175159236</v>
      </c>
      <c r="DG59" s="2">
        <f t="shared" si="7"/>
        <v>103975.75551102204</v>
      </c>
      <c r="DH59" s="2">
        <f t="shared" si="7"/>
        <v>108862.58687068115</v>
      </c>
      <c r="DI59" s="2">
        <f t="shared" si="7"/>
        <v>88540.816666666666</v>
      </c>
      <c r="DJ59" s="2">
        <f t="shared" si="7"/>
        <v>97690.670658682633</v>
      </c>
      <c r="DK59" s="2">
        <f t="shared" si="7"/>
        <v>92530.247474747477</v>
      </c>
      <c r="DL59" s="5">
        <f t="shared" si="7"/>
        <v>120047.07087367818</v>
      </c>
      <c r="DM59" s="2">
        <f t="shared" si="7"/>
        <v>0</v>
      </c>
      <c r="DN59" s="2">
        <f t="shared" si="7"/>
        <v>400000</v>
      </c>
      <c r="DO59" s="2">
        <f t="shared" si="7"/>
        <v>117107.49325153374</v>
      </c>
      <c r="DP59" s="2">
        <f t="shared" si="8"/>
        <v>102600.56906392695</v>
      </c>
      <c r="DQ59" s="2">
        <f t="shared" si="8"/>
        <v>111075.55542240862</v>
      </c>
      <c r="DR59" s="2">
        <f t="shared" si="8"/>
        <v>95933.589552238802</v>
      </c>
      <c r="DS59" s="2">
        <f t="shared" si="8"/>
        <v>95309.406887755104</v>
      </c>
      <c r="DT59" s="2">
        <f t="shared" si="8"/>
        <v>97215.381666666668</v>
      </c>
      <c r="DU59" s="2">
        <f t="shared" si="8"/>
        <v>107737.56148282098</v>
      </c>
      <c r="DV59" s="2">
        <f t="shared" si="8"/>
        <v>102371.52276422764</v>
      </c>
      <c r="DW59" s="2">
        <f t="shared" si="8"/>
        <v>97376.215639810427</v>
      </c>
      <c r="DX59" s="2">
        <f t="shared" si="8"/>
        <v>122013.75946275947</v>
      </c>
      <c r="DY59" s="2">
        <f t="shared" si="8"/>
        <v>104960.86898184688</v>
      </c>
      <c r="DZ59" s="2">
        <f t="shared" si="8"/>
        <v>102981.57429718875</v>
      </c>
      <c r="EA59" s="2">
        <f t="shared" si="8"/>
        <v>109353.39659367397</v>
      </c>
      <c r="EB59" s="2">
        <f t="shared" si="8"/>
        <v>88586.511111111118</v>
      </c>
      <c r="EC59" s="2">
        <f t="shared" si="8"/>
        <v>97810.577380952382</v>
      </c>
      <c r="ED59" s="2">
        <f t="shared" si="8"/>
        <v>92581.121008403366</v>
      </c>
      <c r="EE59" s="5">
        <f t="shared" si="8"/>
        <v>120295.0061510191</v>
      </c>
      <c r="EF59" s="2">
        <f t="shared" si="9"/>
        <v>0</v>
      </c>
      <c r="EG59" s="2">
        <f t="shared" si="9"/>
        <v>400000</v>
      </c>
      <c r="EH59" s="2">
        <f t="shared" si="9"/>
        <v>116879.10864197531</v>
      </c>
      <c r="EI59" s="2">
        <f t="shared" si="9"/>
        <v>102684.71501998858</v>
      </c>
      <c r="EJ59" s="2">
        <f t="shared" si="9"/>
        <v>110157.00843373494</v>
      </c>
      <c r="EK59" s="2">
        <f t="shared" si="9"/>
        <v>95933.589552238802</v>
      </c>
      <c r="EL59" s="2">
        <f t="shared" si="9"/>
        <v>95469.66624203822</v>
      </c>
      <c r="EM59" s="2">
        <f t="shared" si="9"/>
        <v>97407.955149501664</v>
      </c>
      <c r="EN59" s="2">
        <f t="shared" si="9"/>
        <v>107742.93761301989</v>
      </c>
      <c r="EO59" s="2">
        <f t="shared" si="9"/>
        <v>111069.55760368664</v>
      </c>
      <c r="EP59" s="2">
        <f t="shared" si="9"/>
        <v>97634.39336492891</v>
      </c>
      <c r="EQ59" s="2">
        <f t="shared" si="9"/>
        <v>123366.33498759306</v>
      </c>
      <c r="ER59" s="2">
        <f t="shared" si="9"/>
        <v>104855.28571428571</v>
      </c>
      <c r="ES59" s="2">
        <f t="shared" si="9"/>
        <v>105483.70221327968</v>
      </c>
      <c r="ET59" s="2">
        <f t="shared" si="9"/>
        <v>109461.30645944634</v>
      </c>
      <c r="EU59" s="2">
        <f t="shared" si="9"/>
        <v>88599.558333333334</v>
      </c>
      <c r="EV59" s="2">
        <f t="shared" si="10"/>
        <v>98092.491124260356</v>
      </c>
      <c r="EW59" s="2">
        <f t="shared" si="10"/>
        <v>92860.601680672262</v>
      </c>
      <c r="EX59" s="5">
        <f t="shared" si="10"/>
        <v>121041.07130199907</v>
      </c>
      <c r="EY59" s="2">
        <f t="shared" si="10"/>
        <v>0</v>
      </c>
      <c r="EZ59" s="2">
        <f t="shared" si="10"/>
        <v>400000</v>
      </c>
      <c r="FA59" s="2">
        <f t="shared" si="10"/>
        <v>116837.34975369458</v>
      </c>
      <c r="FB59" s="2">
        <f t="shared" si="10"/>
        <v>101843.91704545454</v>
      </c>
      <c r="FC59" s="2">
        <f t="shared" si="10"/>
        <v>110225.72771084338</v>
      </c>
      <c r="FD59" s="2">
        <f t="shared" si="10"/>
        <v>95919.266666666663</v>
      </c>
      <c r="FE59" s="2">
        <f t="shared" si="10"/>
        <v>95670.12086513995</v>
      </c>
      <c r="FF59" s="2">
        <f t="shared" si="10"/>
        <v>97467.716193656088</v>
      </c>
      <c r="FG59" s="2">
        <f t="shared" si="10"/>
        <v>107989.32818181819</v>
      </c>
      <c r="FH59" s="2">
        <f t="shared" si="10"/>
        <v>105991.29756468798</v>
      </c>
      <c r="FI59" s="2">
        <f t="shared" si="10"/>
        <v>97657.436018957349</v>
      </c>
      <c r="FJ59" s="2">
        <f t="shared" si="10"/>
        <v>123566.45285359802</v>
      </c>
      <c r="FK59" s="2">
        <f t="shared" si="10"/>
        <v>104284.51515151515</v>
      </c>
      <c r="FL59" s="2">
        <f t="shared" si="11"/>
        <v>105342.31536926147</v>
      </c>
      <c r="FM59" s="2">
        <f t="shared" si="11"/>
        <v>109292.00581959262</v>
      </c>
      <c r="FN59" s="2">
        <f t="shared" si="11"/>
        <v>88906.257617728537</v>
      </c>
      <c r="FO59" s="2">
        <f t="shared" si="11"/>
        <v>97899.075144508664</v>
      </c>
      <c r="FP59" s="2">
        <f t="shared" si="11"/>
        <v>92846.74161073826</v>
      </c>
      <c r="FQ59" s="5">
        <f t="shared" si="11"/>
        <v>120690.56020987418</v>
      </c>
      <c r="FR59" s="2">
        <f t="shared" si="11"/>
        <v>0</v>
      </c>
      <c r="FS59" s="2">
        <f t="shared" si="11"/>
        <v>400000</v>
      </c>
      <c r="FT59" s="2">
        <f t="shared" si="11"/>
        <v>116810.35424354243</v>
      </c>
      <c r="FU59" s="2">
        <f t="shared" si="11"/>
        <v>102426.47389791183</v>
      </c>
      <c r="FV59" s="2">
        <f t="shared" si="11"/>
        <v>110209.00604229607</v>
      </c>
      <c r="FW59" s="2">
        <f t="shared" si="11"/>
        <v>95741.311594202896</v>
      </c>
      <c r="FX59" s="2">
        <f t="shared" si="11"/>
        <v>95790.531645569616</v>
      </c>
      <c r="FY59" s="2">
        <f t="shared" si="11"/>
        <v>97283.574675324679</v>
      </c>
      <c r="FZ59" s="2">
        <f t="shared" si="11"/>
        <v>107986.15050784856</v>
      </c>
      <c r="GA59" s="2">
        <f t="shared" si="11"/>
        <v>104777.40318906606</v>
      </c>
      <c r="GB59" s="2">
        <f t="shared" si="12"/>
        <v>97583.084354382663</v>
      </c>
      <c r="GC59" s="2">
        <f t="shared" si="12"/>
        <v>123725.58859975217</v>
      </c>
      <c r="GD59" s="2">
        <f t="shared" si="12"/>
        <v>104779.24595219738</v>
      </c>
      <c r="GE59" s="2">
        <f t="shared" si="12"/>
        <v>104759.93650793651</v>
      </c>
      <c r="GF59" s="2">
        <f t="shared" si="12"/>
        <v>109219.84507722007</v>
      </c>
      <c r="GG59" s="2">
        <f t="shared" si="12"/>
        <v>88393.679758308164</v>
      </c>
      <c r="GH59" s="2">
        <f t="shared" si="12"/>
        <v>97453.462427745661</v>
      </c>
      <c r="GI59" s="2">
        <f t="shared" si="12"/>
        <v>92858.458193979939</v>
      </c>
      <c r="GJ59" s="5">
        <f t="shared" si="12"/>
        <v>120576.35921572264</v>
      </c>
      <c r="GK59" s="2">
        <f t="shared" si="12"/>
        <v>0</v>
      </c>
      <c r="GL59" s="2">
        <f t="shared" si="12"/>
        <v>400000</v>
      </c>
      <c r="GM59" s="2">
        <f t="shared" si="12"/>
        <v>116960.7496917386</v>
      </c>
      <c r="GN59" s="2">
        <f t="shared" si="12"/>
        <v>102525.82229965157</v>
      </c>
      <c r="GO59" s="2">
        <f t="shared" si="12"/>
        <v>110351.3</v>
      </c>
      <c r="GP59" s="2">
        <f t="shared" si="12"/>
        <v>95919.266666666663</v>
      </c>
      <c r="GQ59" s="2">
        <f t="shared" si="12"/>
        <v>95812.035398230088</v>
      </c>
      <c r="GR59" s="2">
        <f t="shared" si="13"/>
        <v>97275.713821138212</v>
      </c>
      <c r="GS59" s="2">
        <f t="shared" si="13"/>
        <v>107979.66420664206</v>
      </c>
      <c r="GT59" s="2">
        <f t="shared" si="13"/>
        <v>104147.17210682493</v>
      </c>
      <c r="GU59" s="2">
        <f t="shared" si="13"/>
        <v>97642.822808671059</v>
      </c>
      <c r="GV59" s="2">
        <f t="shared" si="13"/>
        <v>134586.2391033624</v>
      </c>
      <c r="GW59" s="2">
        <f t="shared" si="13"/>
        <v>105003.64687975647</v>
      </c>
      <c r="GX59" s="2">
        <f t="shared" si="13"/>
        <v>104519.74701195219</v>
      </c>
      <c r="GY59" s="2">
        <f t="shared" si="13"/>
        <v>109042.17448042532</v>
      </c>
      <c r="GZ59" s="2">
        <f t="shared" si="13"/>
        <v>88424.722891566271</v>
      </c>
      <c r="HA59" s="2">
        <f t="shared" si="13"/>
        <v>97379.591954022995</v>
      </c>
      <c r="HB59" s="2">
        <f t="shared" si="13"/>
        <v>92650.130148270182</v>
      </c>
      <c r="HC59" s="5">
        <f t="shared" si="13"/>
        <v>121189.45879228937</v>
      </c>
      <c r="HD59" s="2">
        <f t="shared" si="13"/>
        <v>0</v>
      </c>
      <c r="HE59" s="2">
        <f t="shared" si="13"/>
        <v>400000</v>
      </c>
      <c r="HF59" s="2">
        <f t="shared" si="13"/>
        <v>117669.53078817733</v>
      </c>
      <c r="HG59" s="2">
        <f t="shared" si="13"/>
        <v>102688.38262910797</v>
      </c>
      <c r="HH59" s="2">
        <f t="shared" si="14"/>
        <v>110387.01587301587</v>
      </c>
      <c r="HI59" s="2">
        <f t="shared" si="14"/>
        <v>95905.154411764699</v>
      </c>
      <c r="HJ59" s="2">
        <f t="shared" si="14"/>
        <v>95912.634980988587</v>
      </c>
      <c r="HK59" s="2">
        <f t="shared" si="14"/>
        <v>97282.188311688311</v>
      </c>
      <c r="HL59" s="2">
        <f t="shared" si="14"/>
        <v>108042.0331797235</v>
      </c>
      <c r="HM59" s="2">
        <f t="shared" si="14"/>
        <v>103677.74799708667</v>
      </c>
      <c r="HN59" s="2">
        <f t="shared" si="14"/>
        <v>97749.459039548019</v>
      </c>
      <c r="HO59" s="2">
        <f t="shared" si="14"/>
        <v>134720.8592777086</v>
      </c>
      <c r="HP59" s="2">
        <f t="shared" si="14"/>
        <v>105035.87846153846</v>
      </c>
      <c r="HQ59" s="2">
        <f t="shared" si="14"/>
        <v>104216.29116465863</v>
      </c>
      <c r="HR59" s="2">
        <f t="shared" si="14"/>
        <v>109124.38268021288</v>
      </c>
      <c r="HS59" s="2">
        <f t="shared" si="14"/>
        <v>88509.662650602404</v>
      </c>
      <c r="HT59" s="2">
        <f t="shared" si="14"/>
        <v>97379.591954022995</v>
      </c>
      <c r="HU59" s="2">
        <f t="shared" si="14"/>
        <v>91960.07202680067</v>
      </c>
      <c r="HV59" s="5">
        <f t="shared" si="14"/>
        <v>121191.8167898027</v>
      </c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</row>
    <row r="95" collapsed="1" x14ac:dyDescent="0.4"/>
    <row r="99" collapsed="1" x14ac:dyDescent="0.4"/>
    <row r="103" collapsed="1" x14ac:dyDescent="0.4"/>
  </sheetData>
  <autoFilter ref="A2:HV59" xr:uid="{A1279EE9-FFFD-4BBC-867C-F12C24DA22F8}">
    <filterColumn colId="1">
      <filters>
        <filter val="전환계약자회사FM"/>
        <filter val="전환계약자회사POG"/>
        <filter val="전환계약직영FM"/>
        <filter val="전환계약직영POG"/>
        <filter val="전환계약협력FM"/>
        <filter val="전환계약협력POG"/>
      </filters>
    </filterColumn>
  </autoFilter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AF43-50CD-45ED-BD49-1808CCA9455A}">
  <sheetPr codeName="Sheet11"/>
  <dimension ref="A1:IO86"/>
  <sheetViews>
    <sheetView zoomScale="85" zoomScaleNormal="85" workbookViewId="0">
      <pane xSplit="2" ySplit="2" topLeftCell="C39" activePane="bottomRight" state="frozen"/>
      <selection activeCell="BZ23" sqref="BZ23"/>
      <selection pane="topRight" activeCell="BZ23" sqref="BZ23"/>
      <selection pane="bottomLeft" activeCell="BZ23" sqref="BZ23"/>
      <selection pane="bottomRight" activeCell="HY51" sqref="HY51"/>
    </sheetView>
  </sheetViews>
  <sheetFormatPr defaultRowHeight="17.399999999999999" outlineLevelCol="1" x14ac:dyDescent="0.4"/>
  <cols>
    <col min="1" max="1" width="11.69921875" customWidth="1"/>
    <col min="2" max="2" width="19.5" customWidth="1"/>
    <col min="3" max="3" width="9" hidden="1" customWidth="1" outlineLevel="1"/>
    <col min="4" max="12" width="8.69921875" hidden="1" customWidth="1" outlineLevel="1"/>
    <col min="13" max="13" width="8.69921875" hidden="1" customWidth="1" outlineLevel="1" collapsed="1"/>
    <col min="14" max="20" width="8.69921875" hidden="1" customWidth="1" outlineLevel="1"/>
    <col min="21" max="21" width="8.796875" collapsed="1"/>
    <col min="22" max="25" width="8.69921875" hidden="1" customWidth="1" outlineLevel="1"/>
    <col min="26" max="27" width="8.69921875" hidden="1" customWidth="1" outlineLevel="1" collapsed="1"/>
    <col min="28" max="39" width="8.69921875" hidden="1" customWidth="1" outlineLevel="1"/>
    <col min="40" max="40" width="8.796875" collapsed="1"/>
    <col min="41" max="58" width="8.69921875" hidden="1" customWidth="1" outlineLevel="1"/>
    <col min="59" max="59" width="8.796875" collapsed="1"/>
    <col min="60" max="77" width="8.69921875" hidden="1" customWidth="1" outlineLevel="1"/>
    <col min="78" max="78" width="8.796875" collapsed="1"/>
    <col min="79" max="84" width="8.796875" hidden="1" customWidth="1" outlineLevel="1"/>
    <col min="85" max="85" width="8.796875" hidden="1" customWidth="1" outlineLevel="1" collapsed="1"/>
    <col min="86" max="96" width="8.796875" hidden="1" customWidth="1" outlineLevel="1"/>
    <col min="97" max="97" width="8.796875" customWidth="1" collapsed="1"/>
    <col min="98" max="115" width="8.796875" hidden="1" customWidth="1" outlineLevel="1"/>
    <col min="116" max="116" width="8.796875" collapsed="1"/>
    <col min="117" max="134" width="8.796875" hidden="1" customWidth="1" outlineLevel="1"/>
    <col min="135" max="135" width="8.796875" collapsed="1"/>
    <col min="136" max="153" width="8.796875" hidden="1" customWidth="1" outlineLevel="1"/>
    <col min="154" max="154" width="8.796875" collapsed="1"/>
    <col min="155" max="172" width="8.796875" hidden="1" customWidth="1" outlineLevel="1"/>
    <col min="173" max="173" width="8.796875" collapsed="1"/>
    <col min="174" max="191" width="8.796875" hidden="1" customWidth="1" outlineLevel="1"/>
    <col min="192" max="192" width="8.796875" collapsed="1"/>
    <col min="193" max="210" width="8.796875" hidden="1" customWidth="1" outlineLevel="1"/>
    <col min="211" max="211" width="8.796875" collapsed="1"/>
    <col min="212" max="229" width="8.796875" hidden="1" customWidth="1" outlineLevel="1"/>
    <col min="230" max="230" width="8.796875" collapsed="1"/>
    <col min="231" max="231" width="11.69921875" bestFit="1" customWidth="1"/>
  </cols>
  <sheetData>
    <row r="1" spans="1:249" x14ac:dyDescent="0.4">
      <c r="C1" t="s">
        <v>72</v>
      </c>
      <c r="U1" s="4" t="s">
        <v>72</v>
      </c>
      <c r="V1" t="s">
        <v>73</v>
      </c>
      <c r="AN1" s="4" t="s">
        <v>73</v>
      </c>
      <c r="AO1" t="s">
        <v>71</v>
      </c>
      <c r="BG1" s="4" t="s">
        <v>71</v>
      </c>
      <c r="BH1" t="s">
        <v>74</v>
      </c>
      <c r="BZ1" s="4" t="s">
        <v>74</v>
      </c>
      <c r="CA1" t="s">
        <v>75</v>
      </c>
      <c r="CS1" s="4" t="s">
        <v>75</v>
      </c>
      <c r="CT1" t="s">
        <v>76</v>
      </c>
      <c r="DL1" s="4" t="s">
        <v>76</v>
      </c>
      <c r="DM1" t="s">
        <v>77</v>
      </c>
      <c r="EE1" s="4" t="s">
        <v>77</v>
      </c>
      <c r="EF1" t="s">
        <v>78</v>
      </c>
      <c r="EX1" s="4" t="s">
        <v>78</v>
      </c>
      <c r="EY1" t="s">
        <v>79</v>
      </c>
      <c r="FQ1" s="4" t="s">
        <v>79</v>
      </c>
      <c r="FR1" t="s">
        <v>80</v>
      </c>
      <c r="GJ1" s="4" t="s">
        <v>80</v>
      </c>
      <c r="GK1" t="s">
        <v>81</v>
      </c>
      <c r="HC1" s="4" t="s">
        <v>81</v>
      </c>
      <c r="HD1" t="s">
        <v>82</v>
      </c>
      <c r="HV1" s="4" t="s">
        <v>82</v>
      </c>
    </row>
    <row r="2" spans="1:249" x14ac:dyDescent="0.4">
      <c r="A2" t="s">
        <v>42</v>
      </c>
      <c r="B2" s="3" t="s">
        <v>0</v>
      </c>
      <c r="C2" t="s">
        <v>63</v>
      </c>
      <c r="D2" t="s">
        <v>52</v>
      </c>
      <c r="E2" t="s">
        <v>53</v>
      </c>
      <c r="F2" t="s">
        <v>54</v>
      </c>
      <c r="G2" t="s">
        <v>55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64</v>
      </c>
      <c r="P2" t="s">
        <v>65</v>
      </c>
      <c r="Q2" t="s">
        <v>66</v>
      </c>
      <c r="R2" t="s">
        <v>67</v>
      </c>
      <c r="S2" t="s">
        <v>68</v>
      </c>
      <c r="T2" t="s">
        <v>69</v>
      </c>
      <c r="U2" s="5" t="s">
        <v>85</v>
      </c>
      <c r="V2" t="s">
        <v>63</v>
      </c>
      <c r="W2" t="s">
        <v>52</v>
      </c>
      <c r="X2" t="s">
        <v>53</v>
      </c>
      <c r="Y2" t="s">
        <v>54</v>
      </c>
      <c r="Z2" t="s">
        <v>55</v>
      </c>
      <c r="AA2" t="s">
        <v>56</v>
      </c>
      <c r="AB2" t="s">
        <v>57</v>
      </c>
      <c r="AC2" t="s">
        <v>58</v>
      </c>
      <c r="AD2" t="s">
        <v>59</v>
      </c>
      <c r="AE2" t="s">
        <v>60</v>
      </c>
      <c r="AF2" t="s">
        <v>61</v>
      </c>
      <c r="AG2" t="s">
        <v>62</v>
      </c>
      <c r="AH2" t="s">
        <v>64</v>
      </c>
      <c r="AI2" t="s">
        <v>65</v>
      </c>
      <c r="AJ2" t="s">
        <v>66</v>
      </c>
      <c r="AK2" t="s">
        <v>67</v>
      </c>
      <c r="AL2" t="s">
        <v>68</v>
      </c>
      <c r="AM2" t="s">
        <v>69</v>
      </c>
      <c r="AN2" s="5" t="s">
        <v>85</v>
      </c>
      <c r="AO2" t="s">
        <v>63</v>
      </c>
      <c r="AP2" t="s">
        <v>52</v>
      </c>
      <c r="AQ2" t="s">
        <v>53</v>
      </c>
      <c r="AR2" t="s">
        <v>54</v>
      </c>
      <c r="AS2" t="s">
        <v>55</v>
      </c>
      <c r="AT2" t="s">
        <v>56</v>
      </c>
      <c r="AU2" t="s">
        <v>57</v>
      </c>
      <c r="AV2" t="s">
        <v>58</v>
      </c>
      <c r="AW2" t="s">
        <v>59</v>
      </c>
      <c r="AX2" t="s">
        <v>60</v>
      </c>
      <c r="AY2" t="s">
        <v>61</v>
      </c>
      <c r="AZ2" t="s">
        <v>62</v>
      </c>
      <c r="BA2" t="s">
        <v>64</v>
      </c>
      <c r="BB2" t="s">
        <v>65</v>
      </c>
      <c r="BC2" t="s">
        <v>66</v>
      </c>
      <c r="BD2" t="s">
        <v>67</v>
      </c>
      <c r="BE2" t="s">
        <v>68</v>
      </c>
      <c r="BF2" t="s">
        <v>69</v>
      </c>
      <c r="BG2" s="5" t="s">
        <v>85</v>
      </c>
      <c r="BH2" t="s">
        <v>63</v>
      </c>
      <c r="BI2" t="s">
        <v>52</v>
      </c>
      <c r="BJ2" t="s">
        <v>53</v>
      </c>
      <c r="BK2" t="s">
        <v>54</v>
      </c>
      <c r="BL2" t="s">
        <v>55</v>
      </c>
      <c r="BM2" t="s">
        <v>56</v>
      </c>
      <c r="BN2" t="s">
        <v>57</v>
      </c>
      <c r="BO2" t="s">
        <v>58</v>
      </c>
      <c r="BP2" t="s">
        <v>59</v>
      </c>
      <c r="BQ2" t="s">
        <v>60</v>
      </c>
      <c r="BR2" t="s">
        <v>61</v>
      </c>
      <c r="BS2" t="s">
        <v>62</v>
      </c>
      <c r="BT2" t="s">
        <v>64</v>
      </c>
      <c r="BU2" t="s">
        <v>65</v>
      </c>
      <c r="BV2" t="s">
        <v>66</v>
      </c>
      <c r="BW2" t="s">
        <v>67</v>
      </c>
      <c r="BX2" t="s">
        <v>68</v>
      </c>
      <c r="BY2" t="s">
        <v>69</v>
      </c>
      <c r="BZ2" s="5" t="s">
        <v>85</v>
      </c>
      <c r="CA2" t="s">
        <v>63</v>
      </c>
      <c r="CB2" t="s">
        <v>52</v>
      </c>
      <c r="CC2" t="s">
        <v>53</v>
      </c>
      <c r="CD2" t="s">
        <v>54</v>
      </c>
      <c r="CE2" t="s">
        <v>55</v>
      </c>
      <c r="CF2" t="s">
        <v>56</v>
      </c>
      <c r="CG2" t="s">
        <v>57</v>
      </c>
      <c r="CH2" t="s">
        <v>58</v>
      </c>
      <c r="CI2" t="s">
        <v>59</v>
      </c>
      <c r="CJ2" t="s">
        <v>60</v>
      </c>
      <c r="CK2" t="s">
        <v>61</v>
      </c>
      <c r="CL2" t="s">
        <v>62</v>
      </c>
      <c r="CM2" t="s">
        <v>64</v>
      </c>
      <c r="CN2" t="s">
        <v>65</v>
      </c>
      <c r="CO2" t="s">
        <v>66</v>
      </c>
      <c r="CP2" t="s">
        <v>67</v>
      </c>
      <c r="CQ2" t="s">
        <v>68</v>
      </c>
      <c r="CR2" t="s">
        <v>69</v>
      </c>
      <c r="CS2" s="5" t="s">
        <v>85</v>
      </c>
      <c r="CT2" t="s">
        <v>63</v>
      </c>
      <c r="CU2" t="s">
        <v>52</v>
      </c>
      <c r="CV2" t="s">
        <v>53</v>
      </c>
      <c r="CW2" t="s">
        <v>54</v>
      </c>
      <c r="CX2" t="s">
        <v>55</v>
      </c>
      <c r="CY2" t="s">
        <v>56</v>
      </c>
      <c r="CZ2" t="s">
        <v>57</v>
      </c>
      <c r="DA2" t="s">
        <v>58</v>
      </c>
      <c r="DB2" t="s">
        <v>59</v>
      </c>
      <c r="DC2" t="s">
        <v>60</v>
      </c>
      <c r="DD2" t="s">
        <v>61</v>
      </c>
      <c r="DE2" t="s">
        <v>62</v>
      </c>
      <c r="DF2" t="s">
        <v>64</v>
      </c>
      <c r="DG2" t="s">
        <v>65</v>
      </c>
      <c r="DH2" t="s">
        <v>66</v>
      </c>
      <c r="DI2" t="s">
        <v>67</v>
      </c>
      <c r="DJ2" t="s">
        <v>68</v>
      </c>
      <c r="DK2" t="s">
        <v>69</v>
      </c>
      <c r="DL2" s="5" t="s">
        <v>85</v>
      </c>
      <c r="DM2" t="s">
        <v>63</v>
      </c>
      <c r="DN2" t="s">
        <v>52</v>
      </c>
      <c r="DO2" t="s">
        <v>53</v>
      </c>
      <c r="DP2" t="s">
        <v>54</v>
      </c>
      <c r="DQ2" t="s">
        <v>55</v>
      </c>
      <c r="DR2" t="s">
        <v>56</v>
      </c>
      <c r="DS2" t="s">
        <v>57</v>
      </c>
      <c r="DT2" t="s">
        <v>58</v>
      </c>
      <c r="DU2" t="s">
        <v>59</v>
      </c>
      <c r="DV2" t="s">
        <v>60</v>
      </c>
      <c r="DW2" t="s">
        <v>61</v>
      </c>
      <c r="DX2" t="s">
        <v>62</v>
      </c>
      <c r="DY2" t="s">
        <v>64</v>
      </c>
      <c r="DZ2" t="s">
        <v>65</v>
      </c>
      <c r="EA2" t="s">
        <v>66</v>
      </c>
      <c r="EB2" t="s">
        <v>67</v>
      </c>
      <c r="EC2" t="s">
        <v>68</v>
      </c>
      <c r="ED2" t="s">
        <v>69</v>
      </c>
      <c r="EE2" s="5" t="s">
        <v>85</v>
      </c>
      <c r="EF2" t="s">
        <v>63</v>
      </c>
      <c r="EG2" t="s">
        <v>52</v>
      </c>
      <c r="EH2" t="s">
        <v>53</v>
      </c>
      <c r="EI2" t="s">
        <v>54</v>
      </c>
      <c r="EJ2" t="s">
        <v>55</v>
      </c>
      <c r="EK2" t="s">
        <v>56</v>
      </c>
      <c r="EL2" t="s">
        <v>57</v>
      </c>
      <c r="EM2" t="s">
        <v>58</v>
      </c>
      <c r="EN2" t="s">
        <v>59</v>
      </c>
      <c r="EO2" t="s">
        <v>60</v>
      </c>
      <c r="EP2" t="s">
        <v>61</v>
      </c>
      <c r="EQ2" t="s">
        <v>62</v>
      </c>
      <c r="ER2" t="s">
        <v>64</v>
      </c>
      <c r="ES2" t="s">
        <v>65</v>
      </c>
      <c r="ET2" t="s">
        <v>66</v>
      </c>
      <c r="EU2" t="s">
        <v>67</v>
      </c>
      <c r="EV2" t="s">
        <v>68</v>
      </c>
      <c r="EW2" t="s">
        <v>69</v>
      </c>
      <c r="EX2" s="5" t="s">
        <v>85</v>
      </c>
      <c r="EY2" t="s">
        <v>63</v>
      </c>
      <c r="EZ2" t="s">
        <v>52</v>
      </c>
      <c r="FA2" t="s">
        <v>53</v>
      </c>
      <c r="FB2" t="s">
        <v>54</v>
      </c>
      <c r="FC2" t="s">
        <v>55</v>
      </c>
      <c r="FD2" t="s">
        <v>56</v>
      </c>
      <c r="FE2" t="s">
        <v>57</v>
      </c>
      <c r="FF2" t="s">
        <v>58</v>
      </c>
      <c r="FG2" t="s">
        <v>59</v>
      </c>
      <c r="FH2" t="s">
        <v>60</v>
      </c>
      <c r="FI2" t="s">
        <v>61</v>
      </c>
      <c r="FJ2" t="s">
        <v>62</v>
      </c>
      <c r="FK2" t="s">
        <v>64</v>
      </c>
      <c r="FL2" t="s">
        <v>65</v>
      </c>
      <c r="FM2" t="s">
        <v>66</v>
      </c>
      <c r="FN2" t="s">
        <v>67</v>
      </c>
      <c r="FO2" t="s">
        <v>68</v>
      </c>
      <c r="FP2" t="s">
        <v>69</v>
      </c>
      <c r="FQ2" s="5" t="s">
        <v>85</v>
      </c>
      <c r="FR2" t="s">
        <v>63</v>
      </c>
      <c r="FS2" t="s">
        <v>52</v>
      </c>
      <c r="FT2" t="s">
        <v>53</v>
      </c>
      <c r="FU2" t="s">
        <v>54</v>
      </c>
      <c r="FV2" t="s">
        <v>55</v>
      </c>
      <c r="FW2" t="s">
        <v>56</v>
      </c>
      <c r="FX2" t="s">
        <v>57</v>
      </c>
      <c r="FY2" t="s">
        <v>58</v>
      </c>
      <c r="FZ2" t="s">
        <v>59</v>
      </c>
      <c r="GA2" t="s">
        <v>60</v>
      </c>
      <c r="GB2" t="s">
        <v>61</v>
      </c>
      <c r="GC2" t="s">
        <v>62</v>
      </c>
      <c r="GD2" t="s">
        <v>64</v>
      </c>
      <c r="GE2" t="s">
        <v>65</v>
      </c>
      <c r="GF2" t="s">
        <v>66</v>
      </c>
      <c r="GG2" t="s">
        <v>67</v>
      </c>
      <c r="GH2" t="s">
        <v>68</v>
      </c>
      <c r="GI2" t="s">
        <v>69</v>
      </c>
      <c r="GJ2" s="5" t="s">
        <v>85</v>
      </c>
      <c r="GK2" t="s">
        <v>63</v>
      </c>
      <c r="GL2" t="s">
        <v>52</v>
      </c>
      <c r="GM2" t="s">
        <v>53</v>
      </c>
      <c r="GN2" t="s">
        <v>54</v>
      </c>
      <c r="GO2" t="s">
        <v>55</v>
      </c>
      <c r="GP2" t="s">
        <v>56</v>
      </c>
      <c r="GQ2" t="s">
        <v>57</v>
      </c>
      <c r="GR2" t="s">
        <v>58</v>
      </c>
      <c r="GS2" t="s">
        <v>59</v>
      </c>
      <c r="GT2" t="s">
        <v>60</v>
      </c>
      <c r="GU2" t="s">
        <v>61</v>
      </c>
      <c r="GV2" t="s">
        <v>62</v>
      </c>
      <c r="GW2" t="s">
        <v>64</v>
      </c>
      <c r="GX2" t="s">
        <v>65</v>
      </c>
      <c r="GY2" t="s">
        <v>66</v>
      </c>
      <c r="GZ2" t="s">
        <v>67</v>
      </c>
      <c r="HA2" t="s">
        <v>68</v>
      </c>
      <c r="HB2" t="s">
        <v>69</v>
      </c>
      <c r="HC2" s="5" t="s">
        <v>85</v>
      </c>
      <c r="HD2" t="s">
        <v>63</v>
      </c>
      <c r="HE2" t="s">
        <v>52</v>
      </c>
      <c r="HF2" t="s">
        <v>53</v>
      </c>
      <c r="HG2" t="s">
        <v>54</v>
      </c>
      <c r="HH2" t="s">
        <v>55</v>
      </c>
      <c r="HI2" t="s">
        <v>56</v>
      </c>
      <c r="HJ2" t="s">
        <v>57</v>
      </c>
      <c r="HK2" t="s">
        <v>58</v>
      </c>
      <c r="HL2" t="s">
        <v>59</v>
      </c>
      <c r="HM2" t="s">
        <v>60</v>
      </c>
      <c r="HN2" t="s">
        <v>61</v>
      </c>
      <c r="HO2" t="s">
        <v>62</v>
      </c>
      <c r="HP2" t="s">
        <v>64</v>
      </c>
      <c r="HQ2" t="s">
        <v>65</v>
      </c>
      <c r="HR2" t="s">
        <v>66</v>
      </c>
      <c r="HS2" t="s">
        <v>67</v>
      </c>
      <c r="HT2" t="s">
        <v>68</v>
      </c>
      <c r="HU2" t="s">
        <v>69</v>
      </c>
      <c r="HV2" s="5" t="s">
        <v>85</v>
      </c>
      <c r="HW2" t="s">
        <v>106</v>
      </c>
      <c r="IO2" s="5"/>
    </row>
    <row r="3" spans="1:249" s="6" customFormat="1" x14ac:dyDescent="0.4">
      <c r="A3" s="6" t="s">
        <v>49</v>
      </c>
      <c r="B3" s="6" t="s">
        <v>95</v>
      </c>
      <c r="C3" s="8">
        <v>4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5">
        <v>4</v>
      </c>
      <c r="V3" s="8">
        <v>5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I3" s="8">
        <v>0</v>
      </c>
      <c r="AJ3" s="8">
        <v>0</v>
      </c>
      <c r="AK3" s="8">
        <v>0</v>
      </c>
      <c r="AL3" s="8">
        <v>0</v>
      </c>
      <c r="AM3" s="8">
        <v>0</v>
      </c>
      <c r="AN3" s="5">
        <v>5</v>
      </c>
      <c r="AO3" s="8">
        <v>32</v>
      </c>
      <c r="AP3" s="8">
        <v>0</v>
      </c>
      <c r="AQ3" s="8">
        <v>0</v>
      </c>
      <c r="AR3" s="8">
        <v>0</v>
      </c>
      <c r="AS3" s="8">
        <v>0</v>
      </c>
      <c r="AT3" s="8">
        <v>0</v>
      </c>
      <c r="AU3" s="8">
        <v>0</v>
      </c>
      <c r="AV3" s="8">
        <v>0</v>
      </c>
      <c r="AW3" s="8">
        <v>0</v>
      </c>
      <c r="AX3" s="8">
        <v>0</v>
      </c>
      <c r="AY3" s="8">
        <v>0</v>
      </c>
      <c r="AZ3" s="8">
        <v>0</v>
      </c>
      <c r="BA3" s="8">
        <v>0</v>
      </c>
      <c r="BB3" s="8">
        <v>0</v>
      </c>
      <c r="BC3" s="8">
        <v>0</v>
      </c>
      <c r="BD3" s="8">
        <v>0</v>
      </c>
      <c r="BE3" s="8">
        <v>0</v>
      </c>
      <c r="BF3" s="8">
        <v>0</v>
      </c>
      <c r="BG3" s="5">
        <v>32</v>
      </c>
      <c r="BH3" s="8">
        <v>22</v>
      </c>
      <c r="BI3" s="8">
        <v>0</v>
      </c>
      <c r="BJ3" s="8">
        <v>0</v>
      </c>
      <c r="BK3" s="8">
        <v>0</v>
      </c>
      <c r="BL3" s="8">
        <v>0</v>
      </c>
      <c r="BM3" s="8">
        <v>0</v>
      </c>
      <c r="BN3" s="8">
        <v>0</v>
      </c>
      <c r="BO3" s="8">
        <v>0</v>
      </c>
      <c r="BP3" s="8">
        <v>0</v>
      </c>
      <c r="BQ3" s="8">
        <v>0</v>
      </c>
      <c r="BR3" s="8">
        <v>0</v>
      </c>
      <c r="BS3" s="8">
        <v>0</v>
      </c>
      <c r="BT3" s="8">
        <v>0</v>
      </c>
      <c r="BU3" s="8">
        <v>0</v>
      </c>
      <c r="BV3" s="8">
        <v>0</v>
      </c>
      <c r="BW3" s="8">
        <v>0</v>
      </c>
      <c r="BX3" s="8">
        <v>0</v>
      </c>
      <c r="BY3" s="8">
        <v>0</v>
      </c>
      <c r="BZ3" s="5">
        <v>22</v>
      </c>
      <c r="CA3" s="8">
        <v>19</v>
      </c>
      <c r="CB3" s="8">
        <v>0</v>
      </c>
      <c r="CC3" s="8">
        <v>0</v>
      </c>
      <c r="CD3" s="8">
        <v>0</v>
      </c>
      <c r="CE3" s="8">
        <v>0</v>
      </c>
      <c r="CF3" s="8">
        <v>0</v>
      </c>
      <c r="CG3" s="8">
        <v>0</v>
      </c>
      <c r="CH3" s="8">
        <v>0</v>
      </c>
      <c r="CI3" s="8">
        <v>0</v>
      </c>
      <c r="CJ3" s="8">
        <v>0</v>
      </c>
      <c r="CK3" s="8">
        <v>0</v>
      </c>
      <c r="CL3" s="8">
        <v>0</v>
      </c>
      <c r="CM3" s="8">
        <v>0</v>
      </c>
      <c r="CN3" s="8">
        <v>0</v>
      </c>
      <c r="CO3" s="8">
        <v>0</v>
      </c>
      <c r="CP3" s="8">
        <v>0</v>
      </c>
      <c r="CQ3" s="8">
        <v>0</v>
      </c>
      <c r="CR3" s="8">
        <v>0</v>
      </c>
      <c r="CS3" s="5">
        <v>19</v>
      </c>
      <c r="CT3" s="8">
        <v>23</v>
      </c>
      <c r="CU3" s="8">
        <v>0</v>
      </c>
      <c r="CV3" s="8">
        <v>0</v>
      </c>
      <c r="CW3" s="8">
        <v>0</v>
      </c>
      <c r="CX3" s="8">
        <v>0</v>
      </c>
      <c r="CY3" s="8">
        <v>0</v>
      </c>
      <c r="CZ3" s="8">
        <v>0</v>
      </c>
      <c r="DA3" s="8">
        <v>0</v>
      </c>
      <c r="DB3" s="8">
        <v>0</v>
      </c>
      <c r="DC3" s="8">
        <v>0</v>
      </c>
      <c r="DD3" s="8">
        <v>0</v>
      </c>
      <c r="DE3" s="8">
        <v>0</v>
      </c>
      <c r="DF3" s="8">
        <v>0</v>
      </c>
      <c r="DG3" s="8">
        <v>0</v>
      </c>
      <c r="DH3" s="8">
        <v>0</v>
      </c>
      <c r="DI3" s="8">
        <v>0</v>
      </c>
      <c r="DJ3" s="8">
        <v>0</v>
      </c>
      <c r="DK3" s="8">
        <v>0</v>
      </c>
      <c r="DL3" s="5">
        <v>23</v>
      </c>
      <c r="DM3" s="8">
        <v>20</v>
      </c>
      <c r="DN3" s="8">
        <v>0</v>
      </c>
      <c r="DO3" s="8">
        <v>0</v>
      </c>
      <c r="DP3" s="8">
        <v>0</v>
      </c>
      <c r="DQ3" s="8">
        <v>0</v>
      </c>
      <c r="DR3" s="8">
        <v>0</v>
      </c>
      <c r="DS3" s="8">
        <v>0</v>
      </c>
      <c r="DT3" s="8">
        <v>0</v>
      </c>
      <c r="DU3" s="8">
        <v>0</v>
      </c>
      <c r="DV3" s="8">
        <v>0</v>
      </c>
      <c r="DW3" s="8">
        <v>0</v>
      </c>
      <c r="DX3" s="8">
        <v>0</v>
      </c>
      <c r="DY3" s="8">
        <v>0</v>
      </c>
      <c r="DZ3" s="8">
        <v>0</v>
      </c>
      <c r="EA3" s="8">
        <v>0</v>
      </c>
      <c r="EB3" s="8">
        <v>0</v>
      </c>
      <c r="EC3" s="8">
        <v>0</v>
      </c>
      <c r="ED3" s="8">
        <v>0</v>
      </c>
      <c r="EE3" s="5">
        <v>20</v>
      </c>
      <c r="EF3" s="8">
        <v>1</v>
      </c>
      <c r="EG3" s="8">
        <v>0</v>
      </c>
      <c r="EH3" s="8">
        <v>0</v>
      </c>
      <c r="EI3" s="8">
        <v>0</v>
      </c>
      <c r="EJ3" s="8">
        <v>0</v>
      </c>
      <c r="EK3" s="8">
        <v>0</v>
      </c>
      <c r="EL3" s="8">
        <v>0</v>
      </c>
      <c r="EM3" s="8">
        <v>0</v>
      </c>
      <c r="EN3" s="8">
        <v>0</v>
      </c>
      <c r="EO3" s="8">
        <v>0</v>
      </c>
      <c r="EP3" s="8">
        <v>0</v>
      </c>
      <c r="EQ3" s="8">
        <v>0</v>
      </c>
      <c r="ER3" s="8">
        <v>0</v>
      </c>
      <c r="ES3" s="8">
        <v>0</v>
      </c>
      <c r="ET3" s="8">
        <v>0</v>
      </c>
      <c r="EU3" s="8">
        <v>0</v>
      </c>
      <c r="EV3" s="8">
        <v>0</v>
      </c>
      <c r="EW3" s="8">
        <v>0</v>
      </c>
      <c r="EX3" s="5">
        <v>1</v>
      </c>
      <c r="EY3" s="8">
        <v>0</v>
      </c>
      <c r="EZ3" s="8">
        <v>0</v>
      </c>
      <c r="FA3" s="8">
        <v>0</v>
      </c>
      <c r="FB3" s="8">
        <v>0</v>
      </c>
      <c r="FC3" s="8">
        <v>0</v>
      </c>
      <c r="FD3" s="8">
        <v>0</v>
      </c>
      <c r="FE3" s="8">
        <v>0</v>
      </c>
      <c r="FF3" s="8">
        <v>0</v>
      </c>
      <c r="FG3" s="8">
        <v>0</v>
      </c>
      <c r="FH3" s="8">
        <v>0</v>
      </c>
      <c r="FI3" s="8">
        <v>0</v>
      </c>
      <c r="FJ3" s="8">
        <v>0</v>
      </c>
      <c r="FK3" s="8">
        <v>0</v>
      </c>
      <c r="FL3" s="8">
        <v>0</v>
      </c>
      <c r="FM3" s="8">
        <v>0</v>
      </c>
      <c r="FN3" s="8">
        <v>0</v>
      </c>
      <c r="FO3" s="8">
        <v>0</v>
      </c>
      <c r="FP3" s="8">
        <v>0</v>
      </c>
      <c r="FQ3" s="5">
        <v>0</v>
      </c>
      <c r="FR3" s="8">
        <v>2</v>
      </c>
      <c r="FS3" s="8">
        <v>0</v>
      </c>
      <c r="FT3" s="8">
        <v>0</v>
      </c>
      <c r="FU3" s="8">
        <v>0</v>
      </c>
      <c r="FV3" s="8">
        <v>0</v>
      </c>
      <c r="FW3" s="8">
        <v>0</v>
      </c>
      <c r="FX3" s="8">
        <v>0</v>
      </c>
      <c r="FY3" s="8">
        <v>0</v>
      </c>
      <c r="FZ3" s="8">
        <v>0</v>
      </c>
      <c r="GA3" s="8">
        <v>0</v>
      </c>
      <c r="GB3" s="8">
        <v>0</v>
      </c>
      <c r="GC3" s="8">
        <v>0</v>
      </c>
      <c r="GD3" s="8">
        <v>0</v>
      </c>
      <c r="GE3" s="8">
        <v>0</v>
      </c>
      <c r="GF3" s="8">
        <v>0</v>
      </c>
      <c r="GG3" s="8">
        <v>0</v>
      </c>
      <c r="GH3" s="8">
        <v>0</v>
      </c>
      <c r="GI3" s="8">
        <v>0</v>
      </c>
      <c r="GJ3" s="5">
        <v>2</v>
      </c>
      <c r="GK3" s="8">
        <v>0</v>
      </c>
      <c r="GL3" s="8">
        <v>0</v>
      </c>
      <c r="GM3" s="8">
        <v>0</v>
      </c>
      <c r="GN3" s="8">
        <v>0</v>
      </c>
      <c r="GO3" s="8">
        <v>0</v>
      </c>
      <c r="GP3" s="8">
        <v>0</v>
      </c>
      <c r="GQ3" s="8">
        <v>0</v>
      </c>
      <c r="GR3" s="8">
        <v>0</v>
      </c>
      <c r="GS3" s="8">
        <v>0</v>
      </c>
      <c r="GT3" s="8">
        <v>0</v>
      </c>
      <c r="GU3" s="8">
        <v>0</v>
      </c>
      <c r="GV3" s="8">
        <v>0</v>
      </c>
      <c r="GW3" s="8">
        <v>0</v>
      </c>
      <c r="GX3" s="8">
        <v>0</v>
      </c>
      <c r="GY3" s="8">
        <v>0</v>
      </c>
      <c r="GZ3" s="8">
        <v>0</v>
      </c>
      <c r="HA3" s="8">
        <v>0</v>
      </c>
      <c r="HB3" s="8">
        <v>0</v>
      </c>
      <c r="HC3" s="5">
        <v>0</v>
      </c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5"/>
      <c r="HW3" s="8">
        <f>SUM(U3,AN3,BG3,BZ3,CS3,DL3,EE3,EX3,FQ3,GJ3,HC3,HV3)</f>
        <v>128</v>
      </c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</row>
    <row r="4" spans="1:249" x14ac:dyDescent="0.4">
      <c r="A4" t="s">
        <v>49</v>
      </c>
      <c r="B4" t="s">
        <v>93</v>
      </c>
      <c r="C4" s="2">
        <v>0</v>
      </c>
      <c r="D4" s="2">
        <v>0</v>
      </c>
      <c r="E4" s="2">
        <v>0</v>
      </c>
      <c r="F4" s="2">
        <v>36</v>
      </c>
      <c r="G4" s="2">
        <v>5</v>
      </c>
      <c r="H4" s="2">
        <v>41</v>
      </c>
      <c r="I4" s="2">
        <v>0</v>
      </c>
      <c r="J4" s="2">
        <v>0</v>
      </c>
      <c r="K4" s="2">
        <v>0</v>
      </c>
      <c r="L4" s="2">
        <v>12</v>
      </c>
      <c r="M4" s="2">
        <v>0</v>
      </c>
      <c r="N4" s="2">
        <v>27</v>
      </c>
      <c r="O4" s="2">
        <v>1</v>
      </c>
      <c r="P4" s="2">
        <v>0</v>
      </c>
      <c r="Q4" s="2">
        <v>0</v>
      </c>
      <c r="R4" s="2">
        <v>0</v>
      </c>
      <c r="S4" s="2">
        <v>0</v>
      </c>
      <c r="T4" s="2">
        <v>2</v>
      </c>
      <c r="U4" s="5">
        <v>124</v>
      </c>
      <c r="V4" s="2">
        <v>0</v>
      </c>
      <c r="W4" s="2">
        <v>0</v>
      </c>
      <c r="X4" s="2">
        <v>0</v>
      </c>
      <c r="Y4" s="2">
        <v>34</v>
      </c>
      <c r="Z4" s="2">
        <v>2</v>
      </c>
      <c r="AA4" s="2">
        <v>17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4</v>
      </c>
      <c r="AH4" s="2">
        <v>0</v>
      </c>
      <c r="AI4" s="2">
        <v>1</v>
      </c>
      <c r="AJ4" s="2">
        <v>0</v>
      </c>
      <c r="AK4" s="2">
        <v>0</v>
      </c>
      <c r="AL4" s="2">
        <v>0</v>
      </c>
      <c r="AM4" s="2">
        <v>0</v>
      </c>
      <c r="AN4" s="5">
        <v>58</v>
      </c>
      <c r="AO4" s="2">
        <v>0</v>
      </c>
      <c r="AP4" s="2">
        <v>0</v>
      </c>
      <c r="AQ4" s="2">
        <v>1</v>
      </c>
      <c r="AR4" s="2">
        <v>38</v>
      </c>
      <c r="AS4" s="2">
        <v>4</v>
      </c>
      <c r="AT4" s="2">
        <v>3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4</v>
      </c>
      <c r="BA4" s="2">
        <v>3</v>
      </c>
      <c r="BB4" s="2">
        <v>0</v>
      </c>
      <c r="BC4" s="2">
        <v>0</v>
      </c>
      <c r="BD4" s="2">
        <v>1</v>
      </c>
      <c r="BE4" s="2">
        <v>0</v>
      </c>
      <c r="BF4" s="2">
        <v>0</v>
      </c>
      <c r="BG4" s="5">
        <v>54</v>
      </c>
      <c r="BH4" s="2">
        <v>0</v>
      </c>
      <c r="BI4" s="2">
        <v>0</v>
      </c>
      <c r="BJ4" s="2">
        <v>0</v>
      </c>
      <c r="BK4" s="2">
        <v>35</v>
      </c>
      <c r="BL4" s="2">
        <v>1</v>
      </c>
      <c r="BM4" s="2">
        <v>47</v>
      </c>
      <c r="BN4" s="2">
        <v>13</v>
      </c>
      <c r="BO4" s="2">
        <v>0</v>
      </c>
      <c r="BP4" s="2">
        <v>0</v>
      </c>
      <c r="BQ4" s="2">
        <v>2</v>
      </c>
      <c r="BR4" s="2">
        <v>0</v>
      </c>
      <c r="BS4" s="2">
        <v>51</v>
      </c>
      <c r="BT4" s="2">
        <v>0</v>
      </c>
      <c r="BU4" s="2">
        <v>0</v>
      </c>
      <c r="BV4" s="2">
        <v>0</v>
      </c>
      <c r="BW4" s="2">
        <v>1</v>
      </c>
      <c r="BX4" s="2">
        <v>0</v>
      </c>
      <c r="BY4" s="2">
        <v>0</v>
      </c>
      <c r="BZ4" s="5">
        <v>150</v>
      </c>
      <c r="CA4" s="2">
        <v>0</v>
      </c>
      <c r="CB4" s="2">
        <v>0</v>
      </c>
      <c r="CC4" s="2">
        <v>0</v>
      </c>
      <c r="CD4" s="2">
        <v>35</v>
      </c>
      <c r="CE4" s="2">
        <v>0</v>
      </c>
      <c r="CF4" s="2">
        <v>1</v>
      </c>
      <c r="CG4" s="2">
        <v>16</v>
      </c>
      <c r="CH4" s="2">
        <v>1</v>
      </c>
      <c r="CI4" s="2">
        <v>0</v>
      </c>
      <c r="CJ4" s="2">
        <v>0</v>
      </c>
      <c r="CK4" s="2">
        <v>0</v>
      </c>
      <c r="CL4" s="2">
        <v>4</v>
      </c>
      <c r="CM4" s="2">
        <v>0</v>
      </c>
      <c r="CN4" s="2">
        <v>0</v>
      </c>
      <c r="CO4" s="2">
        <v>0</v>
      </c>
      <c r="CP4" s="2">
        <v>1</v>
      </c>
      <c r="CQ4" s="2">
        <v>0</v>
      </c>
      <c r="CR4" s="2">
        <v>0</v>
      </c>
      <c r="CS4" s="5">
        <v>58</v>
      </c>
      <c r="CT4" s="2">
        <v>0</v>
      </c>
      <c r="CU4" s="2">
        <v>0</v>
      </c>
      <c r="CV4" s="2">
        <v>0</v>
      </c>
      <c r="CW4" s="2">
        <v>35</v>
      </c>
      <c r="CX4" s="2">
        <v>0</v>
      </c>
      <c r="CY4" s="2">
        <v>2</v>
      </c>
      <c r="CZ4" s="2">
        <v>12</v>
      </c>
      <c r="DA4" s="2">
        <v>0</v>
      </c>
      <c r="DB4" s="2">
        <v>0</v>
      </c>
      <c r="DC4" s="2">
        <v>1</v>
      </c>
      <c r="DD4" s="2">
        <v>0</v>
      </c>
      <c r="DE4" s="2">
        <v>4</v>
      </c>
      <c r="DF4" s="2">
        <v>1</v>
      </c>
      <c r="DG4" s="2">
        <v>2</v>
      </c>
      <c r="DH4" s="2">
        <v>0</v>
      </c>
      <c r="DI4" s="2">
        <v>1</v>
      </c>
      <c r="DJ4" s="2">
        <v>0</v>
      </c>
      <c r="DK4" s="2">
        <v>0</v>
      </c>
      <c r="DL4" s="5">
        <v>58</v>
      </c>
      <c r="DM4" s="2">
        <v>0</v>
      </c>
      <c r="DN4" s="2">
        <v>0</v>
      </c>
      <c r="DO4" s="2">
        <v>0</v>
      </c>
      <c r="DP4" s="2">
        <v>15</v>
      </c>
      <c r="DQ4" s="2">
        <v>0</v>
      </c>
      <c r="DR4" s="2">
        <v>3</v>
      </c>
      <c r="DS4" s="2">
        <v>16</v>
      </c>
      <c r="DT4" s="2">
        <v>0</v>
      </c>
      <c r="DU4" s="2">
        <v>0</v>
      </c>
      <c r="DV4" s="2">
        <v>0</v>
      </c>
      <c r="DW4" s="2">
        <v>0</v>
      </c>
      <c r="DX4" s="2">
        <v>4</v>
      </c>
      <c r="DY4" s="2">
        <v>1</v>
      </c>
      <c r="DZ4" s="2">
        <v>0</v>
      </c>
      <c r="EA4" s="2">
        <v>0</v>
      </c>
      <c r="EB4" s="2">
        <v>1</v>
      </c>
      <c r="EC4" s="2">
        <v>0</v>
      </c>
      <c r="ED4" s="2">
        <v>0</v>
      </c>
      <c r="EE4" s="5">
        <v>40</v>
      </c>
      <c r="EF4" s="2">
        <v>0</v>
      </c>
      <c r="EG4" s="2">
        <v>0</v>
      </c>
      <c r="EH4" s="2">
        <v>0</v>
      </c>
      <c r="EI4" s="2">
        <v>15</v>
      </c>
      <c r="EJ4" s="2">
        <v>0</v>
      </c>
      <c r="EK4" s="2">
        <v>6</v>
      </c>
      <c r="EL4" s="2">
        <v>0</v>
      </c>
      <c r="EM4" s="2">
        <v>1</v>
      </c>
      <c r="EN4" s="2">
        <v>0</v>
      </c>
      <c r="EO4" s="2">
        <v>8</v>
      </c>
      <c r="EP4" s="2">
        <v>0</v>
      </c>
      <c r="EQ4" s="2">
        <v>4</v>
      </c>
      <c r="ER4" s="2">
        <v>0</v>
      </c>
      <c r="ES4" s="2">
        <v>0</v>
      </c>
      <c r="ET4" s="2">
        <v>0</v>
      </c>
      <c r="EU4" s="2">
        <v>1</v>
      </c>
      <c r="EV4" s="2">
        <v>0</v>
      </c>
      <c r="EW4" s="2">
        <v>0</v>
      </c>
      <c r="EX4" s="5">
        <v>35</v>
      </c>
      <c r="EY4" s="2">
        <v>0</v>
      </c>
      <c r="EZ4" s="2">
        <v>0</v>
      </c>
      <c r="FA4" s="2">
        <v>0</v>
      </c>
      <c r="FB4" s="2">
        <v>14</v>
      </c>
      <c r="FC4" s="2">
        <v>2</v>
      </c>
      <c r="FD4" s="2">
        <v>3</v>
      </c>
      <c r="FE4" s="2">
        <v>0</v>
      </c>
      <c r="FF4" s="2">
        <v>1</v>
      </c>
      <c r="FG4" s="2">
        <v>0</v>
      </c>
      <c r="FH4" s="2">
        <v>0</v>
      </c>
      <c r="FI4" s="2">
        <v>0</v>
      </c>
      <c r="FJ4" s="2">
        <v>7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5">
        <v>27</v>
      </c>
      <c r="FR4" s="2">
        <v>0</v>
      </c>
      <c r="FS4" s="2">
        <v>0</v>
      </c>
      <c r="FT4" s="2">
        <v>0</v>
      </c>
      <c r="FU4" s="2">
        <v>23</v>
      </c>
      <c r="FV4" s="2">
        <v>5</v>
      </c>
      <c r="FW4" s="2">
        <v>15</v>
      </c>
      <c r="FX4" s="2">
        <v>0</v>
      </c>
      <c r="FY4" s="2">
        <v>30</v>
      </c>
      <c r="FZ4" s="2">
        <v>0</v>
      </c>
      <c r="GA4" s="2">
        <v>55</v>
      </c>
      <c r="GB4" s="2">
        <v>0</v>
      </c>
      <c r="GC4" s="2">
        <v>13</v>
      </c>
      <c r="GD4" s="2">
        <v>0</v>
      </c>
      <c r="GE4" s="2">
        <v>4</v>
      </c>
      <c r="GF4" s="2">
        <v>0</v>
      </c>
      <c r="GG4" s="2">
        <v>0</v>
      </c>
      <c r="GH4" s="2">
        <v>0</v>
      </c>
      <c r="GI4" s="2">
        <v>0</v>
      </c>
      <c r="GJ4" s="5">
        <v>145</v>
      </c>
      <c r="GK4" s="2">
        <v>0</v>
      </c>
      <c r="GL4" s="2">
        <v>0</v>
      </c>
      <c r="GM4" s="2">
        <v>0</v>
      </c>
      <c r="GN4" s="2">
        <v>16</v>
      </c>
      <c r="GO4" s="2">
        <v>1</v>
      </c>
      <c r="GP4" s="2">
        <v>9</v>
      </c>
      <c r="GQ4" s="2">
        <v>0</v>
      </c>
      <c r="GR4" s="2">
        <v>3</v>
      </c>
      <c r="GS4" s="2">
        <v>0</v>
      </c>
      <c r="GT4" s="2">
        <v>73</v>
      </c>
      <c r="GU4" s="2">
        <v>0</v>
      </c>
      <c r="GV4" s="2">
        <v>6</v>
      </c>
      <c r="GW4" s="2">
        <v>0</v>
      </c>
      <c r="GX4" s="2">
        <v>3</v>
      </c>
      <c r="GY4" s="2">
        <v>1</v>
      </c>
      <c r="GZ4" s="2">
        <v>0</v>
      </c>
      <c r="HA4" s="2">
        <v>7</v>
      </c>
      <c r="HB4" s="2">
        <v>1</v>
      </c>
      <c r="HC4" s="5">
        <v>120</v>
      </c>
      <c r="HD4" s="2"/>
      <c r="HE4" s="2"/>
      <c r="HF4" s="2"/>
      <c r="HG4" s="2">
        <v>4</v>
      </c>
      <c r="HH4" s="2">
        <v>6</v>
      </c>
      <c r="HI4" s="2">
        <v>5</v>
      </c>
      <c r="HJ4" s="2"/>
      <c r="HK4" s="2">
        <v>2</v>
      </c>
      <c r="HL4" s="2"/>
      <c r="HM4" s="2"/>
      <c r="HN4" s="2">
        <v>5</v>
      </c>
      <c r="HO4" s="2">
        <v>3</v>
      </c>
      <c r="HP4" s="2"/>
      <c r="HQ4" s="2">
        <v>5</v>
      </c>
      <c r="HR4" s="2"/>
      <c r="HS4" s="2">
        <v>1</v>
      </c>
      <c r="HT4" s="2"/>
      <c r="HU4" s="2">
        <v>4</v>
      </c>
      <c r="HV4" s="5">
        <v>35</v>
      </c>
      <c r="HW4" s="2">
        <f t="shared" ref="HW4:HW59" si="0">SUM(U4,AN4,BG4,BZ4,CS4,DL4,EE4,EX4,FQ4,GJ4,HC4,HV4)</f>
        <v>904</v>
      </c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</row>
    <row r="5" spans="1:249" x14ac:dyDescent="0.4">
      <c r="A5" t="s">
        <v>49</v>
      </c>
      <c r="B5" t="s">
        <v>94</v>
      </c>
      <c r="C5" s="2">
        <v>0</v>
      </c>
      <c r="D5" s="2">
        <v>0</v>
      </c>
      <c r="E5" s="2">
        <v>0</v>
      </c>
      <c r="F5" s="2">
        <v>31</v>
      </c>
      <c r="G5" s="2">
        <v>3</v>
      </c>
      <c r="H5" s="2">
        <v>3</v>
      </c>
      <c r="I5" s="2">
        <v>2</v>
      </c>
      <c r="J5" s="2">
        <v>34</v>
      </c>
      <c r="K5" s="2">
        <v>0</v>
      </c>
      <c r="L5" s="2">
        <v>7</v>
      </c>
      <c r="M5" s="2">
        <v>2</v>
      </c>
      <c r="N5" s="2">
        <v>2</v>
      </c>
      <c r="O5" s="2">
        <v>22</v>
      </c>
      <c r="P5" s="2">
        <v>1</v>
      </c>
      <c r="Q5" s="2">
        <v>0</v>
      </c>
      <c r="R5" s="2">
        <v>0</v>
      </c>
      <c r="S5" s="2">
        <v>0</v>
      </c>
      <c r="T5" s="2">
        <v>3</v>
      </c>
      <c r="U5" s="5">
        <v>110</v>
      </c>
      <c r="V5" s="2">
        <v>0</v>
      </c>
      <c r="W5" s="2">
        <v>0</v>
      </c>
      <c r="X5" s="2">
        <v>0</v>
      </c>
      <c r="Y5" s="2">
        <v>43</v>
      </c>
      <c r="Z5" s="2">
        <v>0</v>
      </c>
      <c r="AA5" s="2">
        <v>0</v>
      </c>
      <c r="AB5" s="2">
        <v>2</v>
      </c>
      <c r="AC5" s="2">
        <v>32</v>
      </c>
      <c r="AD5" s="2">
        <v>1</v>
      </c>
      <c r="AE5" s="2">
        <v>1</v>
      </c>
      <c r="AF5" s="2">
        <v>2</v>
      </c>
      <c r="AG5" s="2">
        <v>1</v>
      </c>
      <c r="AH5" s="2">
        <v>22</v>
      </c>
      <c r="AI5" s="2">
        <v>0</v>
      </c>
      <c r="AJ5" s="2">
        <v>0</v>
      </c>
      <c r="AK5" s="2">
        <v>1</v>
      </c>
      <c r="AL5" s="2">
        <v>0</v>
      </c>
      <c r="AM5" s="2">
        <v>1</v>
      </c>
      <c r="AN5" s="5">
        <v>106</v>
      </c>
      <c r="AO5" s="2">
        <v>0</v>
      </c>
      <c r="AP5" s="2">
        <v>0</v>
      </c>
      <c r="AQ5" s="2">
        <v>0</v>
      </c>
      <c r="AR5" s="2">
        <v>34</v>
      </c>
      <c r="AS5" s="2">
        <v>19</v>
      </c>
      <c r="AT5" s="2">
        <v>0</v>
      </c>
      <c r="AU5" s="2">
        <v>2</v>
      </c>
      <c r="AV5" s="2">
        <v>32</v>
      </c>
      <c r="AW5" s="2">
        <v>1</v>
      </c>
      <c r="AX5" s="2">
        <v>0</v>
      </c>
      <c r="AY5" s="2">
        <v>3</v>
      </c>
      <c r="AZ5" s="2">
        <v>0</v>
      </c>
      <c r="BA5" s="2">
        <v>1</v>
      </c>
      <c r="BB5" s="2">
        <v>0</v>
      </c>
      <c r="BC5" s="2">
        <v>0</v>
      </c>
      <c r="BD5" s="2">
        <v>12</v>
      </c>
      <c r="BE5" s="2">
        <v>0</v>
      </c>
      <c r="BF5" s="2">
        <v>1</v>
      </c>
      <c r="BG5" s="5">
        <v>105</v>
      </c>
      <c r="BH5" s="2">
        <v>0</v>
      </c>
      <c r="BI5" s="2">
        <v>0</v>
      </c>
      <c r="BJ5" s="2">
        <v>0</v>
      </c>
      <c r="BK5" s="2">
        <v>3</v>
      </c>
      <c r="BL5" s="2">
        <v>1</v>
      </c>
      <c r="BM5" s="2">
        <v>5</v>
      </c>
      <c r="BN5" s="2">
        <v>0</v>
      </c>
      <c r="BO5" s="2">
        <v>32</v>
      </c>
      <c r="BP5" s="2">
        <v>0</v>
      </c>
      <c r="BQ5" s="2">
        <v>5</v>
      </c>
      <c r="BR5" s="2">
        <v>12</v>
      </c>
      <c r="BS5" s="2">
        <v>0</v>
      </c>
      <c r="BT5" s="2">
        <v>10</v>
      </c>
      <c r="BU5" s="2">
        <v>0</v>
      </c>
      <c r="BV5" s="2">
        <v>1</v>
      </c>
      <c r="BW5" s="2">
        <v>5</v>
      </c>
      <c r="BX5" s="2">
        <v>0</v>
      </c>
      <c r="BY5" s="2">
        <v>1</v>
      </c>
      <c r="BZ5" s="5">
        <v>75</v>
      </c>
      <c r="CA5" s="2">
        <v>0</v>
      </c>
      <c r="CB5" s="2">
        <v>0</v>
      </c>
      <c r="CC5" s="2">
        <v>0</v>
      </c>
      <c r="CD5" s="2">
        <v>3</v>
      </c>
      <c r="CE5" s="2">
        <v>2</v>
      </c>
      <c r="CF5" s="2">
        <v>9</v>
      </c>
      <c r="CG5" s="2">
        <v>1</v>
      </c>
      <c r="CH5" s="2">
        <v>35</v>
      </c>
      <c r="CI5" s="2">
        <v>0</v>
      </c>
      <c r="CJ5" s="2">
        <v>0</v>
      </c>
      <c r="CK5" s="2">
        <v>7</v>
      </c>
      <c r="CL5" s="2">
        <v>0</v>
      </c>
      <c r="CM5" s="2">
        <v>6</v>
      </c>
      <c r="CN5" s="2">
        <v>1</v>
      </c>
      <c r="CO5" s="2">
        <v>1</v>
      </c>
      <c r="CP5" s="2">
        <v>21</v>
      </c>
      <c r="CQ5" s="2">
        <v>0</v>
      </c>
      <c r="CR5" s="2">
        <v>2</v>
      </c>
      <c r="CS5" s="5">
        <v>88</v>
      </c>
      <c r="CT5" s="2">
        <v>0</v>
      </c>
      <c r="CU5" s="2">
        <v>0</v>
      </c>
      <c r="CV5" s="2">
        <v>0</v>
      </c>
      <c r="CW5" s="2">
        <v>4</v>
      </c>
      <c r="CX5" s="2">
        <v>1</v>
      </c>
      <c r="CY5" s="2">
        <v>2</v>
      </c>
      <c r="CZ5" s="2">
        <v>2</v>
      </c>
      <c r="DA5" s="2">
        <v>38</v>
      </c>
      <c r="DB5" s="2">
        <v>0</v>
      </c>
      <c r="DC5" s="2">
        <v>1</v>
      </c>
      <c r="DD5" s="2">
        <v>20</v>
      </c>
      <c r="DE5" s="2">
        <v>0</v>
      </c>
      <c r="DF5" s="2">
        <v>10</v>
      </c>
      <c r="DG5" s="2">
        <v>1</v>
      </c>
      <c r="DH5" s="2">
        <v>0</v>
      </c>
      <c r="DI5" s="2">
        <v>19</v>
      </c>
      <c r="DJ5" s="2">
        <v>1</v>
      </c>
      <c r="DK5" s="2">
        <v>2</v>
      </c>
      <c r="DL5" s="5">
        <v>101</v>
      </c>
      <c r="DM5" s="2">
        <v>0</v>
      </c>
      <c r="DN5" s="2">
        <v>0</v>
      </c>
      <c r="DO5" s="2">
        <v>0</v>
      </c>
      <c r="DP5" s="2">
        <v>3</v>
      </c>
      <c r="DQ5" s="2">
        <v>2</v>
      </c>
      <c r="DR5" s="2">
        <v>0</v>
      </c>
      <c r="DS5" s="2">
        <v>3</v>
      </c>
      <c r="DT5" s="2">
        <v>33</v>
      </c>
      <c r="DU5" s="2">
        <v>0</v>
      </c>
      <c r="DV5" s="2">
        <v>0</v>
      </c>
      <c r="DW5" s="2">
        <v>20</v>
      </c>
      <c r="DX5" s="2">
        <v>1</v>
      </c>
      <c r="DY5" s="2">
        <v>28</v>
      </c>
      <c r="DZ5" s="2">
        <v>2</v>
      </c>
      <c r="EA5" s="2">
        <v>0</v>
      </c>
      <c r="EB5" s="2">
        <v>0</v>
      </c>
      <c r="EC5" s="2">
        <v>0</v>
      </c>
      <c r="ED5" s="2">
        <v>1</v>
      </c>
      <c r="EE5" s="5">
        <v>93</v>
      </c>
      <c r="EF5" s="2">
        <v>0</v>
      </c>
      <c r="EG5" s="2">
        <v>0</v>
      </c>
      <c r="EH5" s="2">
        <v>0</v>
      </c>
      <c r="EI5" s="2">
        <v>3</v>
      </c>
      <c r="EJ5" s="2">
        <v>1</v>
      </c>
      <c r="EK5" s="2">
        <v>0</v>
      </c>
      <c r="EL5" s="2">
        <v>3</v>
      </c>
      <c r="EM5" s="2">
        <v>33</v>
      </c>
      <c r="EN5" s="2">
        <v>0</v>
      </c>
      <c r="EO5" s="2">
        <v>1</v>
      </c>
      <c r="EP5" s="2">
        <v>17</v>
      </c>
      <c r="EQ5" s="2">
        <v>1</v>
      </c>
      <c r="ER5" s="2">
        <v>5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5">
        <v>64</v>
      </c>
      <c r="EY5" s="2">
        <v>0</v>
      </c>
      <c r="EZ5" s="2">
        <v>0</v>
      </c>
      <c r="FA5" s="2">
        <v>0</v>
      </c>
      <c r="FB5" s="2">
        <v>36</v>
      </c>
      <c r="FC5" s="2">
        <v>50</v>
      </c>
      <c r="FD5" s="2">
        <v>0</v>
      </c>
      <c r="FE5" s="2">
        <v>3</v>
      </c>
      <c r="FF5" s="2">
        <v>33</v>
      </c>
      <c r="FG5" s="2">
        <v>0</v>
      </c>
      <c r="FH5" s="2">
        <v>2</v>
      </c>
      <c r="FI5" s="2">
        <v>15</v>
      </c>
      <c r="FJ5" s="2">
        <v>2</v>
      </c>
      <c r="FK5" s="2">
        <v>2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5">
        <v>143</v>
      </c>
      <c r="FR5" s="2">
        <v>0</v>
      </c>
      <c r="FS5" s="2">
        <v>0</v>
      </c>
      <c r="FT5" s="2">
        <v>0</v>
      </c>
      <c r="FU5" s="2">
        <v>7</v>
      </c>
      <c r="FV5" s="2">
        <v>35</v>
      </c>
      <c r="FW5" s="2">
        <v>6</v>
      </c>
      <c r="FX5" s="2">
        <v>3</v>
      </c>
      <c r="FY5" s="2">
        <v>33</v>
      </c>
      <c r="FZ5" s="2">
        <v>0</v>
      </c>
      <c r="GA5" s="2">
        <v>3</v>
      </c>
      <c r="GB5" s="2">
        <v>15</v>
      </c>
      <c r="GC5" s="2">
        <v>14</v>
      </c>
      <c r="GD5" s="2">
        <v>4</v>
      </c>
      <c r="GE5" s="2">
        <v>1</v>
      </c>
      <c r="GF5" s="2">
        <v>0</v>
      </c>
      <c r="GG5" s="2">
        <v>0</v>
      </c>
      <c r="GH5" s="2">
        <v>0</v>
      </c>
      <c r="GI5" s="2">
        <v>1</v>
      </c>
      <c r="GJ5" s="5">
        <v>122</v>
      </c>
      <c r="GK5" s="2">
        <v>0</v>
      </c>
      <c r="GL5" s="2">
        <v>0</v>
      </c>
      <c r="GM5" s="2">
        <v>0</v>
      </c>
      <c r="GN5" s="2">
        <v>50</v>
      </c>
      <c r="GO5" s="2">
        <v>148</v>
      </c>
      <c r="GP5" s="2">
        <v>13</v>
      </c>
      <c r="GQ5" s="2">
        <v>4</v>
      </c>
      <c r="GR5" s="2">
        <v>34</v>
      </c>
      <c r="GS5" s="2">
        <v>0</v>
      </c>
      <c r="GT5" s="2">
        <v>16</v>
      </c>
      <c r="GU5" s="2">
        <v>3</v>
      </c>
      <c r="GV5" s="2">
        <v>19</v>
      </c>
      <c r="GW5" s="2">
        <v>2</v>
      </c>
      <c r="GX5" s="2">
        <v>0</v>
      </c>
      <c r="GY5" s="2">
        <v>0</v>
      </c>
      <c r="GZ5" s="2">
        <v>0</v>
      </c>
      <c r="HA5" s="2">
        <v>0</v>
      </c>
      <c r="HB5" s="2">
        <v>21</v>
      </c>
      <c r="HC5" s="5">
        <v>310</v>
      </c>
      <c r="HD5" s="2"/>
      <c r="HE5" s="2"/>
      <c r="HF5" s="2">
        <v>1</v>
      </c>
      <c r="HG5" s="2">
        <v>59</v>
      </c>
      <c r="HH5" s="2">
        <v>38</v>
      </c>
      <c r="HI5" s="2">
        <v>10</v>
      </c>
      <c r="HJ5" s="2"/>
      <c r="HK5" s="2">
        <v>1</v>
      </c>
      <c r="HL5" s="2"/>
      <c r="HM5" s="2"/>
      <c r="HN5" s="2">
        <v>4</v>
      </c>
      <c r="HO5" s="2"/>
      <c r="HP5" s="2">
        <v>3</v>
      </c>
      <c r="HQ5" s="2">
        <v>2</v>
      </c>
      <c r="HR5" s="2"/>
      <c r="HS5" s="2">
        <v>3</v>
      </c>
      <c r="HT5" s="2"/>
      <c r="HU5" s="2">
        <v>13</v>
      </c>
      <c r="HV5" s="5">
        <v>134</v>
      </c>
      <c r="HW5" s="2">
        <f t="shared" si="0"/>
        <v>1451</v>
      </c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</row>
    <row r="6" spans="1:249" s="6" customFormat="1" x14ac:dyDescent="0.4">
      <c r="A6" s="6" t="s">
        <v>49</v>
      </c>
      <c r="B6" s="6" t="s">
        <v>3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5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5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5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5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5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5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5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5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5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5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5"/>
      <c r="HD6" s="8">
        <v>291</v>
      </c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5">
        <v>291</v>
      </c>
      <c r="HW6" s="8">
        <f t="shared" si="0"/>
        <v>291</v>
      </c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</row>
    <row r="7" spans="1:249" x14ac:dyDescent="0.4">
      <c r="A7" t="s">
        <v>49</v>
      </c>
      <c r="B7" t="s">
        <v>2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5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5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5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5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5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5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5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5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5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5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5"/>
      <c r="HD7" s="2"/>
      <c r="HE7" s="2">
        <v>6</v>
      </c>
      <c r="HF7" s="2">
        <v>42</v>
      </c>
      <c r="HG7" s="2">
        <v>42</v>
      </c>
      <c r="HH7" s="2">
        <v>69</v>
      </c>
      <c r="HI7" s="2">
        <v>32</v>
      </c>
      <c r="HJ7" s="2">
        <v>17</v>
      </c>
      <c r="HK7" s="2">
        <v>9</v>
      </c>
      <c r="HL7" s="2">
        <v>47</v>
      </c>
      <c r="HM7" s="2">
        <v>23</v>
      </c>
      <c r="HN7" s="2">
        <v>96</v>
      </c>
      <c r="HO7" s="2">
        <v>38</v>
      </c>
      <c r="HP7" s="2">
        <v>28</v>
      </c>
      <c r="HQ7" s="2">
        <v>29</v>
      </c>
      <c r="HR7" s="2">
        <v>33</v>
      </c>
      <c r="HS7" s="2">
        <v>6</v>
      </c>
      <c r="HT7" s="2">
        <v>14</v>
      </c>
      <c r="HU7" s="2">
        <v>6</v>
      </c>
      <c r="HV7" s="5">
        <v>537</v>
      </c>
      <c r="HW7" s="2">
        <f t="shared" si="0"/>
        <v>537</v>
      </c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</row>
    <row r="8" spans="1:249" x14ac:dyDescent="0.4">
      <c r="A8" t="s">
        <v>49</v>
      </c>
      <c r="B8" t="s">
        <v>9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5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5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5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5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5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5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5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5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5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5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5"/>
      <c r="HD8" s="2"/>
      <c r="HE8" s="2"/>
      <c r="HF8" s="2">
        <v>18</v>
      </c>
      <c r="HG8" s="2">
        <v>39</v>
      </c>
      <c r="HH8" s="2">
        <v>144</v>
      </c>
      <c r="HI8" s="2"/>
      <c r="HJ8" s="2">
        <v>3</v>
      </c>
      <c r="HK8" s="2">
        <v>43</v>
      </c>
      <c r="HL8" s="2">
        <v>20</v>
      </c>
      <c r="HM8" s="2">
        <v>33</v>
      </c>
      <c r="HN8" s="2">
        <v>38</v>
      </c>
      <c r="HO8" s="2">
        <v>45</v>
      </c>
      <c r="HP8" s="2">
        <v>38</v>
      </c>
      <c r="HQ8" s="2">
        <v>20</v>
      </c>
      <c r="HR8" s="2">
        <v>64</v>
      </c>
      <c r="HS8" s="2">
        <v>71</v>
      </c>
      <c r="HT8" s="2"/>
      <c r="HU8" s="2">
        <v>7</v>
      </c>
      <c r="HV8" s="5">
        <v>583</v>
      </c>
      <c r="HW8" s="2">
        <f t="shared" si="0"/>
        <v>583</v>
      </c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</row>
    <row r="9" spans="1:249" s="6" customFormat="1" x14ac:dyDescent="0.4">
      <c r="A9" s="6" t="s">
        <v>49</v>
      </c>
      <c r="B9" s="6" t="s">
        <v>101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5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5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5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5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5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5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5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5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5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5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5"/>
      <c r="HD9" s="8">
        <v>26</v>
      </c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5">
        <v>26</v>
      </c>
      <c r="HW9" s="8">
        <f t="shared" si="0"/>
        <v>26</v>
      </c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</row>
    <row r="10" spans="1:249" x14ac:dyDescent="0.4">
      <c r="A10" t="s">
        <v>49</v>
      </c>
      <c r="B10" t="s">
        <v>99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5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5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5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5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5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5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5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5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5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5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5"/>
      <c r="HD10" s="2"/>
      <c r="HE10" s="2">
        <v>10</v>
      </c>
      <c r="HF10" s="2">
        <v>6</v>
      </c>
      <c r="HG10" s="2">
        <v>8</v>
      </c>
      <c r="HH10" s="2">
        <v>76</v>
      </c>
      <c r="HI10" s="2">
        <v>3</v>
      </c>
      <c r="HJ10" s="2">
        <v>34</v>
      </c>
      <c r="HK10" s="2">
        <v>9</v>
      </c>
      <c r="HL10" s="2">
        <v>31</v>
      </c>
      <c r="HM10" s="2">
        <v>3</v>
      </c>
      <c r="HN10" s="2">
        <v>30</v>
      </c>
      <c r="HO10" s="2">
        <v>4</v>
      </c>
      <c r="HP10" s="2"/>
      <c r="HQ10" s="2">
        <v>1</v>
      </c>
      <c r="HR10" s="2">
        <v>100</v>
      </c>
      <c r="HS10" s="2">
        <v>11</v>
      </c>
      <c r="HT10" s="2">
        <v>3</v>
      </c>
      <c r="HU10" s="2"/>
      <c r="HV10" s="5">
        <v>329</v>
      </c>
      <c r="HW10" s="2">
        <f t="shared" si="0"/>
        <v>329</v>
      </c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</row>
    <row r="11" spans="1:249" x14ac:dyDescent="0.4">
      <c r="A11" t="s">
        <v>49</v>
      </c>
      <c r="B11" t="s">
        <v>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5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5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5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5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5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5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5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5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5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5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5"/>
      <c r="HD11" s="2"/>
      <c r="HE11" s="2"/>
      <c r="HF11" s="2">
        <v>1</v>
      </c>
      <c r="HG11" s="2">
        <v>19</v>
      </c>
      <c r="HH11" s="2">
        <v>51</v>
      </c>
      <c r="HI11" s="2">
        <v>1</v>
      </c>
      <c r="HJ11" s="2"/>
      <c r="HK11" s="2">
        <v>34</v>
      </c>
      <c r="HL11" s="2">
        <v>5</v>
      </c>
      <c r="HM11" s="2">
        <v>4</v>
      </c>
      <c r="HN11" s="2">
        <v>19</v>
      </c>
      <c r="HO11" s="2">
        <v>8</v>
      </c>
      <c r="HP11" s="2">
        <v>3</v>
      </c>
      <c r="HQ11" s="2">
        <v>3</v>
      </c>
      <c r="HR11" s="2">
        <v>55</v>
      </c>
      <c r="HS11" s="2">
        <v>18</v>
      </c>
      <c r="HT11" s="2"/>
      <c r="HU11" s="2"/>
      <c r="HV11" s="5">
        <v>221</v>
      </c>
      <c r="HW11" s="2">
        <f t="shared" si="0"/>
        <v>221</v>
      </c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</row>
    <row r="12" spans="1:249" s="6" customFormat="1" x14ac:dyDescent="0.4">
      <c r="A12" s="6" t="s">
        <v>49</v>
      </c>
      <c r="B12" s="6" t="s">
        <v>96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5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5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5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5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5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5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5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5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5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5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5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5"/>
      <c r="HW12" s="8">
        <f t="shared" si="0"/>
        <v>0</v>
      </c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</row>
    <row r="13" spans="1:249" x14ac:dyDescent="0.4">
      <c r="A13" t="s">
        <v>49</v>
      </c>
      <c r="B13" t="s">
        <v>97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5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5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5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5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5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5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5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5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5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5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5"/>
      <c r="HD13" s="2"/>
      <c r="HE13" s="2"/>
      <c r="HF13" s="2"/>
      <c r="HG13" s="2">
        <v>12</v>
      </c>
      <c r="HH13" s="2">
        <v>1</v>
      </c>
      <c r="HI13" s="2">
        <v>1</v>
      </c>
      <c r="HJ13" s="2"/>
      <c r="HK13" s="2">
        <v>1</v>
      </c>
      <c r="HL13" s="2"/>
      <c r="HM13" s="2"/>
      <c r="HN13" s="2"/>
      <c r="HO13" s="2">
        <v>4</v>
      </c>
      <c r="HP13" s="2"/>
      <c r="HQ13" s="2"/>
      <c r="HR13" s="2"/>
      <c r="HS13" s="2"/>
      <c r="HT13" s="2"/>
      <c r="HU13" s="2"/>
      <c r="HV13" s="5">
        <v>19</v>
      </c>
      <c r="HW13" s="2">
        <f t="shared" si="0"/>
        <v>19</v>
      </c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</row>
    <row r="14" spans="1:249" x14ac:dyDescent="0.4">
      <c r="A14" t="s">
        <v>49</v>
      </c>
      <c r="B14" t="s">
        <v>98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5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5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5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5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5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5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5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5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5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5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5"/>
      <c r="HD14" s="2"/>
      <c r="HE14" s="2"/>
      <c r="HF14" s="2"/>
      <c r="HG14" s="2">
        <v>2</v>
      </c>
      <c r="HH14" s="2">
        <v>2</v>
      </c>
      <c r="HI14" s="2"/>
      <c r="HJ14" s="2">
        <v>2</v>
      </c>
      <c r="HK14" s="2">
        <v>33</v>
      </c>
      <c r="HL14" s="2"/>
      <c r="HM14" s="2"/>
      <c r="HN14" s="2">
        <v>1</v>
      </c>
      <c r="HO14" s="2">
        <v>2</v>
      </c>
      <c r="HP14" s="2">
        <v>1</v>
      </c>
      <c r="HQ14" s="2"/>
      <c r="HR14" s="2"/>
      <c r="HS14" s="2"/>
      <c r="HT14" s="2"/>
      <c r="HU14" s="2"/>
      <c r="HV14" s="5">
        <v>43</v>
      </c>
      <c r="HW14" s="2">
        <f t="shared" si="0"/>
        <v>43</v>
      </c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</row>
    <row r="15" spans="1:249" s="6" customFormat="1" x14ac:dyDescent="0.4">
      <c r="A15" s="6" t="s">
        <v>49</v>
      </c>
      <c r="B15" s="6" t="s">
        <v>7</v>
      </c>
      <c r="C15" s="7">
        <v>36666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9">
        <v>36666</v>
      </c>
      <c r="V15" s="7">
        <v>36954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9">
        <v>36954</v>
      </c>
      <c r="AO15" s="7">
        <v>37186</v>
      </c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9">
        <v>37186</v>
      </c>
      <c r="BH15" s="7">
        <v>37408</v>
      </c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9">
        <v>37408</v>
      </c>
      <c r="CA15" s="7">
        <v>37811</v>
      </c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9">
        <v>37811</v>
      </c>
      <c r="CT15" s="7">
        <v>37838</v>
      </c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9">
        <v>37838</v>
      </c>
      <c r="DM15" s="7">
        <v>37634</v>
      </c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9">
        <v>37634</v>
      </c>
      <c r="EF15" s="7">
        <v>37613</v>
      </c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9">
        <v>37613</v>
      </c>
      <c r="EY15" s="7">
        <v>37667</v>
      </c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9">
        <v>37667</v>
      </c>
      <c r="FR15" s="7">
        <v>37541</v>
      </c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9">
        <v>37541</v>
      </c>
      <c r="GK15" s="7">
        <v>37541</v>
      </c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9">
        <v>37541</v>
      </c>
      <c r="HD15" s="7">
        <v>37221</v>
      </c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9">
        <v>37221</v>
      </c>
      <c r="HW15" s="7">
        <f t="shared" si="0"/>
        <v>449080</v>
      </c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</row>
    <row r="16" spans="1:249" x14ac:dyDescent="0.4">
      <c r="A16" t="s">
        <v>49</v>
      </c>
      <c r="B16" t="s">
        <v>5</v>
      </c>
      <c r="C16" s="1">
        <v>8019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9">
        <v>8019</v>
      </c>
      <c r="V16" s="1">
        <v>8070</v>
      </c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9">
        <v>8070</v>
      </c>
      <c r="AO16" s="1">
        <v>8296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9">
        <v>8296</v>
      </c>
      <c r="BH16" s="1">
        <v>8366</v>
      </c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9">
        <v>8366</v>
      </c>
      <c r="CA16" s="1">
        <v>8421</v>
      </c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9">
        <v>8421</v>
      </c>
      <c r="CT16" s="1">
        <v>8451</v>
      </c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9">
        <v>8451</v>
      </c>
      <c r="DM16" s="1">
        <v>8488</v>
      </c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9">
        <v>8488</v>
      </c>
      <c r="EF16" s="1">
        <v>8519</v>
      </c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9">
        <v>8519</v>
      </c>
      <c r="EY16" s="1">
        <v>8541</v>
      </c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9">
        <v>8541</v>
      </c>
      <c r="FR16" s="1">
        <v>8444</v>
      </c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9">
        <v>8444</v>
      </c>
      <c r="GK16" s="1">
        <v>8333</v>
      </c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9">
        <v>8333</v>
      </c>
      <c r="HD16" s="1">
        <v>8259</v>
      </c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9">
        <v>8259</v>
      </c>
      <c r="HW16" s="1">
        <f t="shared" si="0"/>
        <v>100207</v>
      </c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</row>
    <row r="17" spans="1:249" x14ac:dyDescent="0.4">
      <c r="A17" t="s">
        <v>49</v>
      </c>
      <c r="B17" t="s">
        <v>6</v>
      </c>
      <c r="C17" s="1"/>
      <c r="D17" s="1">
        <v>1666</v>
      </c>
      <c r="E17" s="1">
        <v>2411</v>
      </c>
      <c r="F17" s="1">
        <v>2846</v>
      </c>
      <c r="G17" s="1">
        <v>2777</v>
      </c>
      <c r="H17" s="1">
        <v>3951</v>
      </c>
      <c r="I17" s="1">
        <v>1365</v>
      </c>
      <c r="J17" s="1">
        <v>2801</v>
      </c>
      <c r="K17" s="1">
        <v>2956</v>
      </c>
      <c r="L17" s="1">
        <v>3665</v>
      </c>
      <c r="M17" s="1">
        <v>2310</v>
      </c>
      <c r="N17" s="1">
        <v>2717</v>
      </c>
      <c r="O17" s="1">
        <v>2219</v>
      </c>
      <c r="P17" s="1">
        <v>1416</v>
      </c>
      <c r="Q17" s="1">
        <v>1398</v>
      </c>
      <c r="R17" s="1">
        <v>2483</v>
      </c>
      <c r="S17" s="1">
        <v>899</v>
      </c>
      <c r="T17" s="1">
        <v>1516</v>
      </c>
      <c r="U17" s="9">
        <v>39396</v>
      </c>
      <c r="V17" s="1"/>
      <c r="W17" s="1">
        <v>1674</v>
      </c>
      <c r="X17" s="1">
        <v>2445</v>
      </c>
      <c r="Y17" s="1">
        <v>2815</v>
      </c>
      <c r="Z17" s="1">
        <v>2805</v>
      </c>
      <c r="AA17" s="1">
        <v>3939</v>
      </c>
      <c r="AB17" s="1">
        <v>1358</v>
      </c>
      <c r="AC17" s="1">
        <v>2805</v>
      </c>
      <c r="AD17" s="1">
        <v>2939</v>
      </c>
      <c r="AE17" s="1">
        <v>3716</v>
      </c>
      <c r="AF17" s="1">
        <v>2339</v>
      </c>
      <c r="AG17" s="1">
        <v>2708</v>
      </c>
      <c r="AH17" s="1">
        <v>2212</v>
      </c>
      <c r="AI17" s="1">
        <v>1424</v>
      </c>
      <c r="AJ17" s="1">
        <v>1397</v>
      </c>
      <c r="AK17" s="1">
        <v>2489</v>
      </c>
      <c r="AL17" s="1">
        <v>909</v>
      </c>
      <c r="AM17" s="1">
        <v>1488</v>
      </c>
      <c r="AN17" s="9">
        <v>39462</v>
      </c>
      <c r="AO17" s="1"/>
      <c r="AP17" s="1">
        <v>1691</v>
      </c>
      <c r="AQ17" s="1">
        <v>2422</v>
      </c>
      <c r="AR17" s="1">
        <v>2765</v>
      </c>
      <c r="AS17" s="1">
        <v>2713</v>
      </c>
      <c r="AT17" s="1">
        <v>3785</v>
      </c>
      <c r="AU17" s="1">
        <v>1327</v>
      </c>
      <c r="AV17" s="1">
        <v>2766</v>
      </c>
      <c r="AW17" s="1">
        <v>2935</v>
      </c>
      <c r="AX17" s="1">
        <v>3688</v>
      </c>
      <c r="AY17" s="1">
        <v>2363</v>
      </c>
      <c r="AZ17" s="1">
        <v>2708</v>
      </c>
      <c r="BA17" s="1">
        <v>2193</v>
      </c>
      <c r="BB17" s="1">
        <v>1414</v>
      </c>
      <c r="BC17" s="1">
        <v>1392</v>
      </c>
      <c r="BD17" s="1">
        <v>2436</v>
      </c>
      <c r="BE17" s="1">
        <v>899</v>
      </c>
      <c r="BF17" s="1">
        <v>1329</v>
      </c>
      <c r="BG17" s="9">
        <v>38826</v>
      </c>
      <c r="BH17" s="1"/>
      <c r="BI17" s="1">
        <v>1694</v>
      </c>
      <c r="BJ17" s="1">
        <v>2322</v>
      </c>
      <c r="BK17" s="1">
        <v>2767</v>
      </c>
      <c r="BL17" s="1">
        <v>2714</v>
      </c>
      <c r="BM17" s="1">
        <v>3765</v>
      </c>
      <c r="BN17" s="1">
        <v>1315</v>
      </c>
      <c r="BO17" s="1">
        <v>2718</v>
      </c>
      <c r="BP17" s="1">
        <v>2892</v>
      </c>
      <c r="BQ17" s="1">
        <v>3672</v>
      </c>
      <c r="BR17" s="1">
        <v>2395</v>
      </c>
      <c r="BS17" s="1">
        <v>2686</v>
      </c>
      <c r="BT17" s="1">
        <v>2198</v>
      </c>
      <c r="BU17" s="1">
        <v>1424</v>
      </c>
      <c r="BV17" s="1">
        <v>1394</v>
      </c>
      <c r="BW17" s="1">
        <v>2265</v>
      </c>
      <c r="BX17" s="1">
        <v>898</v>
      </c>
      <c r="BY17" s="1">
        <v>1307</v>
      </c>
      <c r="BZ17" s="9">
        <v>38426</v>
      </c>
      <c r="CA17" s="1"/>
      <c r="CB17" s="1">
        <v>1696</v>
      </c>
      <c r="CC17" s="1">
        <v>2304</v>
      </c>
      <c r="CD17" s="1">
        <v>2751</v>
      </c>
      <c r="CE17" s="1">
        <v>2701</v>
      </c>
      <c r="CF17" s="1">
        <v>3813</v>
      </c>
      <c r="CG17" s="1">
        <v>1315</v>
      </c>
      <c r="CH17" s="1">
        <v>2716</v>
      </c>
      <c r="CI17" s="1">
        <v>2881</v>
      </c>
      <c r="CJ17" s="1">
        <v>3689</v>
      </c>
      <c r="CK17" s="1">
        <v>2393</v>
      </c>
      <c r="CL17" s="1">
        <v>2747</v>
      </c>
      <c r="CM17" s="1">
        <v>2189</v>
      </c>
      <c r="CN17" s="1">
        <v>1423</v>
      </c>
      <c r="CO17" s="1">
        <v>1375</v>
      </c>
      <c r="CP17" s="1">
        <v>2206</v>
      </c>
      <c r="CQ17" s="1">
        <v>885</v>
      </c>
      <c r="CR17" s="1">
        <v>1291</v>
      </c>
      <c r="CS17" s="9">
        <v>38375</v>
      </c>
      <c r="CT17" s="1"/>
      <c r="CU17" s="1">
        <v>1710</v>
      </c>
      <c r="CV17" s="1">
        <v>2315</v>
      </c>
      <c r="CW17" s="1">
        <v>2752</v>
      </c>
      <c r="CX17" s="1">
        <v>2699</v>
      </c>
      <c r="CY17" s="1">
        <v>3832</v>
      </c>
      <c r="CZ17" s="1">
        <v>1302</v>
      </c>
      <c r="DA17" s="1">
        <v>2710</v>
      </c>
      <c r="DB17" s="1">
        <v>2863</v>
      </c>
      <c r="DC17" s="1">
        <v>3732</v>
      </c>
      <c r="DD17" s="1">
        <v>2319</v>
      </c>
      <c r="DE17" s="1">
        <v>2787</v>
      </c>
      <c r="DF17" s="1">
        <v>2185</v>
      </c>
      <c r="DG17" s="1">
        <v>1417</v>
      </c>
      <c r="DH17" s="1">
        <v>1491</v>
      </c>
      <c r="DI17" s="1">
        <v>2171</v>
      </c>
      <c r="DJ17" s="1">
        <v>886</v>
      </c>
      <c r="DK17" s="1">
        <v>1295</v>
      </c>
      <c r="DL17" s="9">
        <v>38466</v>
      </c>
      <c r="DM17" s="1"/>
      <c r="DN17" s="1">
        <v>1726</v>
      </c>
      <c r="DO17" s="1">
        <v>2321</v>
      </c>
      <c r="DP17" s="1">
        <v>2770</v>
      </c>
      <c r="DQ17" s="1">
        <v>2681</v>
      </c>
      <c r="DR17" s="1">
        <v>3875</v>
      </c>
      <c r="DS17" s="1">
        <v>1295</v>
      </c>
      <c r="DT17" s="1">
        <v>2704</v>
      </c>
      <c r="DU17" s="1">
        <v>2888</v>
      </c>
      <c r="DV17" s="1">
        <v>3763</v>
      </c>
      <c r="DW17" s="1">
        <v>2310</v>
      </c>
      <c r="DX17" s="1">
        <v>2773</v>
      </c>
      <c r="DY17" s="1">
        <v>2198</v>
      </c>
      <c r="DZ17" s="1">
        <v>1415</v>
      </c>
      <c r="EA17" s="1">
        <v>1455</v>
      </c>
      <c r="EB17" s="1">
        <v>2151</v>
      </c>
      <c r="EC17" s="1">
        <v>888</v>
      </c>
      <c r="ED17" s="1">
        <v>1303</v>
      </c>
      <c r="EE17" s="9">
        <v>38516</v>
      </c>
      <c r="EF17" s="1"/>
      <c r="EG17" s="1">
        <v>1736</v>
      </c>
      <c r="EH17" s="1">
        <v>2321</v>
      </c>
      <c r="EI17" s="1">
        <v>2776</v>
      </c>
      <c r="EJ17" s="1">
        <v>2661</v>
      </c>
      <c r="EK17" s="1">
        <v>3908</v>
      </c>
      <c r="EL17" s="1">
        <v>1311</v>
      </c>
      <c r="EM17" s="1">
        <v>2698</v>
      </c>
      <c r="EN17" s="1">
        <v>2909</v>
      </c>
      <c r="EO17" s="1">
        <v>3760</v>
      </c>
      <c r="EP17" s="1">
        <v>2342</v>
      </c>
      <c r="EQ17" s="1">
        <v>2774</v>
      </c>
      <c r="ER17" s="1">
        <v>2199</v>
      </c>
      <c r="ES17" s="1">
        <v>1442</v>
      </c>
      <c r="ET17" s="1">
        <v>1413</v>
      </c>
      <c r="EU17" s="1">
        <v>2146</v>
      </c>
      <c r="EV17" s="1">
        <v>897</v>
      </c>
      <c r="EW17" s="1">
        <v>1365</v>
      </c>
      <c r="EX17" s="9">
        <v>38658</v>
      </c>
      <c r="EY17" s="1"/>
      <c r="EZ17" s="1">
        <v>1723</v>
      </c>
      <c r="FA17" s="1">
        <v>2313</v>
      </c>
      <c r="FB17" s="1">
        <v>2776</v>
      </c>
      <c r="FC17" s="1">
        <v>2634</v>
      </c>
      <c r="FD17" s="1">
        <v>3955</v>
      </c>
      <c r="FE17" s="1">
        <v>1309</v>
      </c>
      <c r="FF17" s="1">
        <v>2698</v>
      </c>
      <c r="FG17" s="1">
        <v>2968</v>
      </c>
      <c r="FH17" s="1">
        <v>3750</v>
      </c>
      <c r="FI17" s="1">
        <v>2376</v>
      </c>
      <c r="FJ17" s="1">
        <v>2737</v>
      </c>
      <c r="FK17" s="1">
        <v>2296</v>
      </c>
      <c r="FL17" s="1">
        <v>1442</v>
      </c>
      <c r="FM17" s="1">
        <v>1458</v>
      </c>
      <c r="FN17" s="1">
        <v>2150</v>
      </c>
      <c r="FO17" s="1">
        <v>897</v>
      </c>
      <c r="FP17" s="1">
        <v>1347</v>
      </c>
      <c r="FQ17" s="9">
        <v>38829</v>
      </c>
      <c r="FR17" s="1"/>
      <c r="FS17" s="1">
        <v>1724</v>
      </c>
      <c r="FT17" s="1">
        <v>2345</v>
      </c>
      <c r="FU17" s="1">
        <v>2772</v>
      </c>
      <c r="FV17" s="1">
        <v>2655</v>
      </c>
      <c r="FW17" s="1">
        <v>3950</v>
      </c>
      <c r="FX17" s="1">
        <v>1308</v>
      </c>
      <c r="FY17" s="1">
        <v>2684</v>
      </c>
      <c r="FZ17" s="1">
        <v>3000</v>
      </c>
      <c r="GA17" s="1">
        <v>3682</v>
      </c>
      <c r="GB17" s="1">
        <v>2392</v>
      </c>
      <c r="GC17" s="1">
        <v>2770</v>
      </c>
      <c r="GD17" s="1">
        <v>2377</v>
      </c>
      <c r="GE17" s="1">
        <v>1439</v>
      </c>
      <c r="GF17" s="1">
        <v>1469</v>
      </c>
      <c r="GG17" s="1">
        <v>2163</v>
      </c>
      <c r="GH17" s="1">
        <v>909</v>
      </c>
      <c r="GI17" s="1">
        <v>1374</v>
      </c>
      <c r="GJ17" s="9">
        <v>39013</v>
      </c>
      <c r="GK17" s="1"/>
      <c r="GL17" s="1">
        <v>1728</v>
      </c>
      <c r="GM17" s="1">
        <v>2364</v>
      </c>
      <c r="GN17" s="1">
        <v>2777</v>
      </c>
      <c r="GO17" s="1">
        <v>2665</v>
      </c>
      <c r="GP17" s="1">
        <v>3977</v>
      </c>
      <c r="GQ17" s="1">
        <v>1289</v>
      </c>
      <c r="GR17" s="1">
        <v>2722</v>
      </c>
      <c r="GS17" s="1">
        <v>2986</v>
      </c>
      <c r="GT17" s="1">
        <v>3680</v>
      </c>
      <c r="GU17" s="1">
        <v>2385</v>
      </c>
      <c r="GV17" s="1">
        <v>2795</v>
      </c>
      <c r="GW17" s="1">
        <v>2392</v>
      </c>
      <c r="GX17" s="1">
        <v>1437</v>
      </c>
      <c r="GY17" s="1">
        <v>1433</v>
      </c>
      <c r="GZ17" s="1">
        <v>2175</v>
      </c>
      <c r="HA17" s="1">
        <v>924</v>
      </c>
      <c r="HB17" s="1">
        <v>1412</v>
      </c>
      <c r="HC17" s="9">
        <v>39141</v>
      </c>
      <c r="HD17" s="1"/>
      <c r="HE17" s="1">
        <v>1722</v>
      </c>
      <c r="HF17" s="1">
        <v>2371</v>
      </c>
      <c r="HG17" s="1">
        <v>2771</v>
      </c>
      <c r="HH17" s="1">
        <v>2660</v>
      </c>
      <c r="HI17" s="1">
        <v>3988</v>
      </c>
      <c r="HJ17" s="1">
        <v>1245</v>
      </c>
      <c r="HK17" s="1">
        <v>2732</v>
      </c>
      <c r="HL17" s="1">
        <v>3003</v>
      </c>
      <c r="HM17" s="1">
        <v>3679</v>
      </c>
      <c r="HN17" s="1">
        <v>2373</v>
      </c>
      <c r="HO17" s="1">
        <v>2819</v>
      </c>
      <c r="HP17" s="1">
        <v>2372</v>
      </c>
      <c r="HQ17" s="1">
        <v>1429</v>
      </c>
      <c r="HR17" s="1">
        <v>1435</v>
      </c>
      <c r="HS17" s="1">
        <v>2174</v>
      </c>
      <c r="HT17" s="1">
        <v>922</v>
      </c>
      <c r="HU17" s="1">
        <v>1479</v>
      </c>
      <c r="HV17" s="9">
        <v>39174</v>
      </c>
      <c r="HW17" s="1">
        <f t="shared" si="0"/>
        <v>466282</v>
      </c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</row>
    <row r="18" spans="1:249" x14ac:dyDescent="0.4">
      <c r="A18" t="s">
        <v>49</v>
      </c>
      <c r="B18" t="s">
        <v>4</v>
      </c>
      <c r="C18" s="1"/>
      <c r="D18" s="1">
        <v>411</v>
      </c>
      <c r="E18" s="1">
        <v>1960</v>
      </c>
      <c r="F18" s="1">
        <v>2612</v>
      </c>
      <c r="G18" s="1">
        <v>2097</v>
      </c>
      <c r="H18" s="1">
        <v>1022</v>
      </c>
      <c r="I18" s="1">
        <v>367</v>
      </c>
      <c r="J18" s="1">
        <v>1416</v>
      </c>
      <c r="K18" s="1">
        <v>1903</v>
      </c>
      <c r="L18" s="1">
        <v>711</v>
      </c>
      <c r="M18" s="1">
        <v>1681</v>
      </c>
      <c r="N18" s="1">
        <v>934</v>
      </c>
      <c r="O18" s="1">
        <v>984</v>
      </c>
      <c r="P18" s="1">
        <v>714</v>
      </c>
      <c r="Q18" s="1">
        <v>1745</v>
      </c>
      <c r="R18" s="1">
        <v>373</v>
      </c>
      <c r="S18" s="1">
        <v>756</v>
      </c>
      <c r="T18" s="1">
        <v>342</v>
      </c>
      <c r="U18" s="9">
        <v>20028</v>
      </c>
      <c r="V18" s="1"/>
      <c r="W18" s="1">
        <v>411</v>
      </c>
      <c r="X18" s="1">
        <v>1958</v>
      </c>
      <c r="Y18" s="1">
        <v>2603</v>
      </c>
      <c r="Z18" s="1">
        <v>2095</v>
      </c>
      <c r="AA18" s="1">
        <v>1049</v>
      </c>
      <c r="AB18" s="1">
        <v>369</v>
      </c>
      <c r="AC18" s="1">
        <v>1436</v>
      </c>
      <c r="AD18" s="1">
        <v>1893</v>
      </c>
      <c r="AE18" s="1">
        <v>717</v>
      </c>
      <c r="AF18" s="1">
        <v>1644</v>
      </c>
      <c r="AG18" s="1">
        <v>964</v>
      </c>
      <c r="AH18" s="1">
        <v>1002</v>
      </c>
      <c r="AI18" s="1">
        <v>721</v>
      </c>
      <c r="AJ18" s="1">
        <v>1758</v>
      </c>
      <c r="AK18" s="1">
        <v>372</v>
      </c>
      <c r="AL18" s="1">
        <v>757</v>
      </c>
      <c r="AM18" s="1">
        <v>340</v>
      </c>
      <c r="AN18" s="9">
        <v>20089</v>
      </c>
      <c r="AO18" s="1"/>
      <c r="AP18" s="1">
        <v>411</v>
      </c>
      <c r="AQ18" s="1">
        <v>1956</v>
      </c>
      <c r="AR18" s="1">
        <v>2629</v>
      </c>
      <c r="AS18" s="1">
        <v>2120</v>
      </c>
      <c r="AT18" s="1">
        <v>1069</v>
      </c>
      <c r="AU18" s="1">
        <v>374</v>
      </c>
      <c r="AV18" s="1">
        <v>1387</v>
      </c>
      <c r="AW18" s="1">
        <v>1878</v>
      </c>
      <c r="AX18" s="1">
        <v>727</v>
      </c>
      <c r="AY18" s="1">
        <v>1683</v>
      </c>
      <c r="AZ18" s="1">
        <v>979</v>
      </c>
      <c r="BA18" s="1">
        <v>1014</v>
      </c>
      <c r="BB18" s="1">
        <v>741</v>
      </c>
      <c r="BC18" s="1">
        <v>1783</v>
      </c>
      <c r="BD18" s="1">
        <v>372</v>
      </c>
      <c r="BE18" s="1">
        <v>758</v>
      </c>
      <c r="BF18" s="1">
        <v>328</v>
      </c>
      <c r="BG18" s="9">
        <v>20209</v>
      </c>
      <c r="BH18" s="1"/>
      <c r="BI18" s="1">
        <v>411</v>
      </c>
      <c r="BJ18" s="1">
        <v>1951</v>
      </c>
      <c r="BK18" s="1">
        <v>2636</v>
      </c>
      <c r="BL18" s="1">
        <v>2121</v>
      </c>
      <c r="BM18" s="1">
        <v>1085</v>
      </c>
      <c r="BN18" s="1">
        <v>376</v>
      </c>
      <c r="BO18" s="1">
        <v>1386</v>
      </c>
      <c r="BP18" s="1">
        <v>1933</v>
      </c>
      <c r="BQ18" s="1">
        <v>767</v>
      </c>
      <c r="BR18" s="1">
        <v>1695</v>
      </c>
      <c r="BS18" s="1">
        <v>987</v>
      </c>
      <c r="BT18" s="1">
        <v>1017</v>
      </c>
      <c r="BU18" s="1">
        <v>741</v>
      </c>
      <c r="BV18" s="1">
        <v>1698</v>
      </c>
      <c r="BW18" s="1">
        <v>358</v>
      </c>
      <c r="BX18" s="1">
        <v>750</v>
      </c>
      <c r="BY18" s="1">
        <v>325</v>
      </c>
      <c r="BZ18" s="9">
        <v>20237</v>
      </c>
      <c r="CA18" s="1"/>
      <c r="CB18" s="1">
        <v>411</v>
      </c>
      <c r="CC18" s="1">
        <v>1957</v>
      </c>
      <c r="CD18" s="1">
        <v>2657</v>
      </c>
      <c r="CE18" s="1">
        <v>2125</v>
      </c>
      <c r="CF18" s="1">
        <v>1091</v>
      </c>
      <c r="CG18" s="1">
        <v>372</v>
      </c>
      <c r="CH18" s="1">
        <v>1391</v>
      </c>
      <c r="CI18" s="1">
        <v>1957</v>
      </c>
      <c r="CJ18" s="1">
        <v>756</v>
      </c>
      <c r="CK18" s="1">
        <v>1712</v>
      </c>
      <c r="CL18" s="1">
        <v>986</v>
      </c>
      <c r="CM18" s="1">
        <v>1008</v>
      </c>
      <c r="CN18" s="1">
        <v>738</v>
      </c>
      <c r="CO18" s="1">
        <v>1677</v>
      </c>
      <c r="CP18" s="1">
        <v>356</v>
      </c>
      <c r="CQ18" s="1">
        <v>757</v>
      </c>
      <c r="CR18" s="1">
        <v>334</v>
      </c>
      <c r="CS18" s="9">
        <v>20285</v>
      </c>
      <c r="CT18" s="1"/>
      <c r="CU18" s="1">
        <v>413</v>
      </c>
      <c r="CV18" s="1">
        <v>1992</v>
      </c>
      <c r="CW18" s="1">
        <v>2677</v>
      </c>
      <c r="CX18" s="1">
        <v>2112</v>
      </c>
      <c r="CY18" s="1">
        <v>1103</v>
      </c>
      <c r="CZ18" s="1">
        <v>384</v>
      </c>
      <c r="DA18" s="1">
        <v>1404</v>
      </c>
      <c r="DB18" s="1">
        <v>1966</v>
      </c>
      <c r="DC18" s="1">
        <v>803</v>
      </c>
      <c r="DD18" s="1">
        <v>1762</v>
      </c>
      <c r="DE18" s="1">
        <v>987</v>
      </c>
      <c r="DF18" s="1">
        <v>1017</v>
      </c>
      <c r="DG18" s="1">
        <v>739</v>
      </c>
      <c r="DH18" s="1">
        <v>1676</v>
      </c>
      <c r="DI18" s="1">
        <v>357</v>
      </c>
      <c r="DJ18" s="1">
        <v>752</v>
      </c>
      <c r="DK18" s="1">
        <v>322</v>
      </c>
      <c r="DL18" s="9">
        <v>20466</v>
      </c>
      <c r="DM18" s="1"/>
      <c r="DN18" s="1">
        <v>413</v>
      </c>
      <c r="DO18" s="1">
        <v>1998</v>
      </c>
      <c r="DP18" s="1">
        <v>2702</v>
      </c>
      <c r="DQ18" s="1">
        <v>2129</v>
      </c>
      <c r="DR18" s="1">
        <v>1114</v>
      </c>
      <c r="DS18" s="1">
        <v>386</v>
      </c>
      <c r="DT18" s="1">
        <v>1406</v>
      </c>
      <c r="DU18" s="1">
        <v>1973</v>
      </c>
      <c r="DV18" s="1">
        <v>804</v>
      </c>
      <c r="DW18" s="1">
        <v>1770</v>
      </c>
      <c r="DX18" s="1">
        <v>1003</v>
      </c>
      <c r="DY18" s="1">
        <v>1018</v>
      </c>
      <c r="DZ18" s="1">
        <v>743</v>
      </c>
      <c r="EA18" s="1">
        <v>1636</v>
      </c>
      <c r="EB18" s="1">
        <v>368</v>
      </c>
      <c r="EC18" s="1">
        <v>750</v>
      </c>
      <c r="ED18" s="1">
        <v>259</v>
      </c>
      <c r="EE18" s="9">
        <v>20472</v>
      </c>
      <c r="EF18" s="1"/>
      <c r="EG18" s="1">
        <v>413</v>
      </c>
      <c r="EH18" s="1">
        <v>1999</v>
      </c>
      <c r="EI18" s="1">
        <v>2721</v>
      </c>
      <c r="EJ18" s="1">
        <v>2136</v>
      </c>
      <c r="EK18" s="1">
        <v>1127</v>
      </c>
      <c r="EL18" s="1">
        <v>417</v>
      </c>
      <c r="EM18" s="1">
        <v>1406</v>
      </c>
      <c r="EN18" s="1">
        <v>2021</v>
      </c>
      <c r="EO18" s="1">
        <v>788</v>
      </c>
      <c r="EP18" s="1">
        <v>1772</v>
      </c>
      <c r="EQ18" s="1">
        <v>1005</v>
      </c>
      <c r="ER18" s="1">
        <v>1018</v>
      </c>
      <c r="ES18" s="1">
        <v>741</v>
      </c>
      <c r="ET18" s="1">
        <v>1694</v>
      </c>
      <c r="EU18" s="1">
        <v>367</v>
      </c>
      <c r="EV18" s="1">
        <v>754</v>
      </c>
      <c r="EW18" s="1">
        <v>261</v>
      </c>
      <c r="EX18" s="9">
        <v>20640</v>
      </c>
      <c r="EY18" s="1"/>
      <c r="EZ18" s="1">
        <v>423</v>
      </c>
      <c r="FA18" s="1">
        <v>2010</v>
      </c>
      <c r="FB18" s="1">
        <v>2739</v>
      </c>
      <c r="FC18" s="1">
        <v>2157</v>
      </c>
      <c r="FD18" s="1">
        <v>1137</v>
      </c>
      <c r="FE18" s="1">
        <v>423</v>
      </c>
      <c r="FF18" s="1">
        <v>1405</v>
      </c>
      <c r="FG18" s="1">
        <v>2051</v>
      </c>
      <c r="FH18" s="1">
        <v>805</v>
      </c>
      <c r="FI18" s="1">
        <v>1777</v>
      </c>
      <c r="FJ18" s="1">
        <v>1007</v>
      </c>
      <c r="FK18" s="1">
        <v>1016</v>
      </c>
      <c r="FL18" s="1">
        <v>744</v>
      </c>
      <c r="FM18" s="1">
        <v>1697</v>
      </c>
      <c r="FN18" s="1">
        <v>365</v>
      </c>
      <c r="FO18" s="1">
        <v>753</v>
      </c>
      <c r="FP18" s="1">
        <v>260</v>
      </c>
      <c r="FQ18" s="9">
        <v>20769</v>
      </c>
      <c r="FR18" s="1"/>
      <c r="FS18" s="1">
        <v>422</v>
      </c>
      <c r="FT18" s="1">
        <v>2023</v>
      </c>
      <c r="FU18" s="1">
        <v>2742</v>
      </c>
      <c r="FV18" s="1">
        <v>2140</v>
      </c>
      <c r="FW18" s="1">
        <v>1142</v>
      </c>
      <c r="FX18" s="1">
        <v>455</v>
      </c>
      <c r="FY18" s="1">
        <v>1395</v>
      </c>
      <c r="FZ18" s="1">
        <v>2066</v>
      </c>
      <c r="GA18" s="1">
        <v>826</v>
      </c>
      <c r="GB18" s="1">
        <v>1834</v>
      </c>
      <c r="GC18" s="1">
        <v>1015</v>
      </c>
      <c r="GD18" s="1">
        <v>1017</v>
      </c>
      <c r="GE18" s="1">
        <v>754</v>
      </c>
      <c r="GF18" s="1">
        <v>1708</v>
      </c>
      <c r="GG18" s="1">
        <v>367</v>
      </c>
      <c r="GH18" s="1">
        <v>757</v>
      </c>
      <c r="GI18" s="1">
        <v>244</v>
      </c>
      <c r="GJ18" s="9">
        <v>20907</v>
      </c>
      <c r="GK18" s="1"/>
      <c r="GL18" s="1">
        <v>432</v>
      </c>
      <c r="GM18" s="1">
        <v>2032</v>
      </c>
      <c r="GN18" s="1">
        <v>2749</v>
      </c>
      <c r="GO18" s="1">
        <v>2167</v>
      </c>
      <c r="GP18" s="1">
        <v>1139</v>
      </c>
      <c r="GQ18" s="1">
        <v>473</v>
      </c>
      <c r="GR18" s="1">
        <v>1395</v>
      </c>
      <c r="GS18" s="1">
        <v>2079</v>
      </c>
      <c r="GT18" s="1">
        <v>828</v>
      </c>
      <c r="GU18" s="1">
        <v>1871</v>
      </c>
      <c r="GV18" s="1">
        <v>1026</v>
      </c>
      <c r="GW18" s="1">
        <v>1043</v>
      </c>
      <c r="GX18" s="1">
        <v>769</v>
      </c>
      <c r="GY18" s="1">
        <v>1761</v>
      </c>
      <c r="GZ18" s="1">
        <v>369</v>
      </c>
      <c r="HA18" s="1">
        <v>760</v>
      </c>
      <c r="HB18" s="1">
        <v>259</v>
      </c>
      <c r="HC18" s="9">
        <v>21152</v>
      </c>
      <c r="HD18" s="1"/>
      <c r="HE18" s="1">
        <v>434</v>
      </c>
      <c r="HF18" s="1">
        <v>2036</v>
      </c>
      <c r="HG18" s="1">
        <v>2748</v>
      </c>
      <c r="HH18" s="1">
        <v>2166</v>
      </c>
      <c r="HI18" s="1">
        <v>1140</v>
      </c>
      <c r="HJ18" s="1">
        <v>468</v>
      </c>
      <c r="HK18" s="1">
        <v>1394</v>
      </c>
      <c r="HL18" s="1">
        <v>2087</v>
      </c>
      <c r="HM18" s="1">
        <v>830</v>
      </c>
      <c r="HN18" s="1">
        <v>1881</v>
      </c>
      <c r="HO18" s="1">
        <v>1030</v>
      </c>
      <c r="HP18" s="1">
        <v>1049</v>
      </c>
      <c r="HQ18" s="1">
        <v>769</v>
      </c>
      <c r="HR18" s="1">
        <v>1760</v>
      </c>
      <c r="HS18" s="1">
        <v>369</v>
      </c>
      <c r="HT18" s="1">
        <v>758</v>
      </c>
      <c r="HU18" s="1">
        <v>272</v>
      </c>
      <c r="HV18" s="9">
        <v>21191</v>
      </c>
      <c r="HW18" s="1">
        <f t="shared" si="0"/>
        <v>246445</v>
      </c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</row>
    <row r="19" spans="1:249" x14ac:dyDescent="0.4">
      <c r="A19" t="s">
        <v>49</v>
      </c>
      <c r="B19" t="s">
        <v>46</v>
      </c>
      <c r="C19" s="1"/>
      <c r="D19" s="1"/>
      <c r="E19" s="1">
        <v>3481</v>
      </c>
      <c r="F19" s="1">
        <v>6721</v>
      </c>
      <c r="G19" s="1">
        <v>6167</v>
      </c>
      <c r="H19" s="1">
        <v>482</v>
      </c>
      <c r="I19" s="1">
        <v>3900</v>
      </c>
      <c r="J19" s="1">
        <v>4962</v>
      </c>
      <c r="K19" s="1">
        <v>5166</v>
      </c>
      <c r="L19" s="1">
        <v>4152</v>
      </c>
      <c r="M19" s="1">
        <v>5526</v>
      </c>
      <c r="N19" s="1">
        <v>3534</v>
      </c>
      <c r="O19" s="1">
        <v>6937</v>
      </c>
      <c r="P19" s="1">
        <v>1967</v>
      </c>
      <c r="Q19" s="1">
        <v>7723</v>
      </c>
      <c r="R19" s="1">
        <v>1462</v>
      </c>
      <c r="S19" s="1">
        <v>535</v>
      </c>
      <c r="T19" s="1">
        <v>3924</v>
      </c>
      <c r="U19" s="9">
        <v>66639</v>
      </c>
      <c r="V19" s="1"/>
      <c r="W19" s="1"/>
      <c r="X19" s="1">
        <v>3460</v>
      </c>
      <c r="Y19" s="1">
        <v>6808</v>
      </c>
      <c r="Z19" s="1">
        <v>6224</v>
      </c>
      <c r="AA19" s="1">
        <v>483</v>
      </c>
      <c r="AB19" s="1">
        <v>3917</v>
      </c>
      <c r="AC19" s="1">
        <v>4981</v>
      </c>
      <c r="AD19" s="1">
        <v>5277</v>
      </c>
      <c r="AE19" s="1">
        <v>4137</v>
      </c>
      <c r="AF19" s="1">
        <v>5570</v>
      </c>
      <c r="AG19" s="1">
        <v>3558</v>
      </c>
      <c r="AH19" s="1">
        <v>6977</v>
      </c>
      <c r="AI19" s="1">
        <v>1966</v>
      </c>
      <c r="AJ19" s="1">
        <v>7874</v>
      </c>
      <c r="AK19" s="1">
        <v>1462</v>
      </c>
      <c r="AL19" s="1">
        <v>527</v>
      </c>
      <c r="AM19" s="1">
        <v>3988</v>
      </c>
      <c r="AN19" s="9">
        <v>67209</v>
      </c>
      <c r="AO19" s="1"/>
      <c r="AP19" s="1"/>
      <c r="AQ19" s="1">
        <v>3449</v>
      </c>
      <c r="AR19" s="1">
        <v>6837</v>
      </c>
      <c r="AS19" s="1">
        <v>6255</v>
      </c>
      <c r="AT19" s="1">
        <v>521</v>
      </c>
      <c r="AU19" s="1">
        <v>3978</v>
      </c>
      <c r="AV19" s="1">
        <v>5003</v>
      </c>
      <c r="AW19" s="1">
        <v>5330</v>
      </c>
      <c r="AX19" s="1">
        <v>4139</v>
      </c>
      <c r="AY19" s="1">
        <v>5644</v>
      </c>
      <c r="AZ19" s="1">
        <v>3549</v>
      </c>
      <c r="BA19" s="1">
        <v>7014</v>
      </c>
      <c r="BB19" s="1">
        <v>1969</v>
      </c>
      <c r="BC19" s="1">
        <v>7899</v>
      </c>
      <c r="BD19" s="1">
        <v>1499</v>
      </c>
      <c r="BE19" s="1">
        <v>522</v>
      </c>
      <c r="BF19" s="1">
        <v>4059</v>
      </c>
      <c r="BG19" s="9">
        <v>67667</v>
      </c>
      <c r="BH19" s="1"/>
      <c r="BI19" s="1"/>
      <c r="BJ19" s="1">
        <v>3483</v>
      </c>
      <c r="BK19" s="1">
        <v>6919</v>
      </c>
      <c r="BL19" s="1">
        <v>6304</v>
      </c>
      <c r="BM19" s="1">
        <v>527</v>
      </c>
      <c r="BN19" s="1">
        <v>3974</v>
      </c>
      <c r="BO19" s="1">
        <v>5017</v>
      </c>
      <c r="BP19" s="1">
        <v>5463</v>
      </c>
      <c r="BQ19" s="1">
        <v>4109</v>
      </c>
      <c r="BR19" s="1">
        <v>5642</v>
      </c>
      <c r="BS19" s="1">
        <v>3624</v>
      </c>
      <c r="BT19" s="1">
        <v>7208</v>
      </c>
      <c r="BU19" s="1">
        <v>1990</v>
      </c>
      <c r="BV19" s="1">
        <v>7939</v>
      </c>
      <c r="BW19" s="1">
        <v>1642</v>
      </c>
      <c r="BX19" s="1">
        <v>525</v>
      </c>
      <c r="BY19" s="1">
        <v>4103</v>
      </c>
      <c r="BZ19" s="9">
        <v>68469</v>
      </c>
      <c r="CA19" s="1"/>
      <c r="CB19" s="1"/>
      <c r="CC19" s="1">
        <v>3496</v>
      </c>
      <c r="CD19" s="1">
        <v>6904</v>
      </c>
      <c r="CE19" s="1">
        <v>6285</v>
      </c>
      <c r="CF19" s="1">
        <v>522</v>
      </c>
      <c r="CG19" s="1">
        <v>3998</v>
      </c>
      <c r="CH19" s="1">
        <v>5007</v>
      </c>
      <c r="CI19" s="1">
        <v>5498</v>
      </c>
      <c r="CJ19" s="1">
        <v>4092</v>
      </c>
      <c r="CK19" s="1">
        <v>5675</v>
      </c>
      <c r="CL19" s="1">
        <v>3676</v>
      </c>
      <c r="CM19" s="1">
        <v>7337</v>
      </c>
      <c r="CN19" s="1">
        <v>2001</v>
      </c>
      <c r="CO19" s="1">
        <v>7941</v>
      </c>
      <c r="CP19" s="1">
        <v>1697</v>
      </c>
      <c r="CQ19" s="1">
        <v>525</v>
      </c>
      <c r="CR19" s="1">
        <v>4126</v>
      </c>
      <c r="CS19" s="9">
        <v>68780</v>
      </c>
      <c r="CT19" s="1"/>
      <c r="CU19" s="1"/>
      <c r="CV19" s="1">
        <v>3506</v>
      </c>
      <c r="CW19" s="1">
        <v>7050</v>
      </c>
      <c r="CX19" s="1">
        <v>6343</v>
      </c>
      <c r="CY19" s="1">
        <v>529</v>
      </c>
      <c r="CZ19" s="1">
        <v>4010</v>
      </c>
      <c r="DA19" s="1">
        <v>5004</v>
      </c>
      <c r="DB19" s="1">
        <v>5663</v>
      </c>
      <c r="DC19" s="1">
        <v>4103</v>
      </c>
      <c r="DD19" s="1">
        <v>5645</v>
      </c>
      <c r="DE19" s="1">
        <v>3635</v>
      </c>
      <c r="DF19" s="1">
        <v>7470</v>
      </c>
      <c r="DG19" s="1">
        <v>2015</v>
      </c>
      <c r="DH19" s="1">
        <v>7913</v>
      </c>
      <c r="DI19" s="1">
        <v>1710</v>
      </c>
      <c r="DJ19" s="1">
        <v>544</v>
      </c>
      <c r="DK19" s="1">
        <v>4164</v>
      </c>
      <c r="DL19" s="9">
        <v>69304</v>
      </c>
      <c r="DM19" s="1"/>
      <c r="DN19" s="1">
        <v>6</v>
      </c>
      <c r="DO19" s="1">
        <v>3531</v>
      </c>
      <c r="DP19" s="1">
        <v>7079</v>
      </c>
      <c r="DQ19" s="1">
        <v>6411</v>
      </c>
      <c r="DR19" s="1">
        <v>531</v>
      </c>
      <c r="DS19" s="1">
        <v>4203</v>
      </c>
      <c r="DT19" s="1">
        <v>5029</v>
      </c>
      <c r="DU19" s="1">
        <v>5736</v>
      </c>
      <c r="DV19" s="1">
        <v>4110</v>
      </c>
      <c r="DW19" s="1">
        <v>5638</v>
      </c>
      <c r="DX19" s="1">
        <v>3730</v>
      </c>
      <c r="DY19" s="1">
        <v>7535</v>
      </c>
      <c r="DZ19" s="1">
        <v>2045</v>
      </c>
      <c r="EA19" s="1">
        <v>8086</v>
      </c>
      <c r="EB19" s="1">
        <v>1726</v>
      </c>
      <c r="EC19" s="1">
        <v>545</v>
      </c>
      <c r="ED19" s="1">
        <v>4188</v>
      </c>
      <c r="EE19" s="9">
        <v>70129</v>
      </c>
      <c r="EF19" s="1"/>
      <c r="EG19" s="1">
        <v>6</v>
      </c>
      <c r="EH19" s="1">
        <v>3523</v>
      </c>
      <c r="EI19" s="1">
        <v>7127</v>
      </c>
      <c r="EJ19" s="1">
        <v>6470</v>
      </c>
      <c r="EK19" s="1">
        <v>532</v>
      </c>
      <c r="EL19" s="1">
        <v>4175</v>
      </c>
      <c r="EM19" s="1">
        <v>5028</v>
      </c>
      <c r="EN19" s="1">
        <v>5735</v>
      </c>
      <c r="EO19" s="1">
        <v>4123</v>
      </c>
      <c r="EP19" s="1">
        <v>5622</v>
      </c>
      <c r="EQ19" s="1">
        <v>3776</v>
      </c>
      <c r="ER19" s="1">
        <v>7618</v>
      </c>
      <c r="ES19" s="1">
        <v>2036</v>
      </c>
      <c r="ET19" s="1">
        <v>8171</v>
      </c>
      <c r="EU19" s="1">
        <v>1751</v>
      </c>
      <c r="EV19" s="1">
        <v>543</v>
      </c>
      <c r="EW19" s="1">
        <v>4175</v>
      </c>
      <c r="EX19" s="9">
        <v>70411</v>
      </c>
      <c r="EY19" s="1"/>
      <c r="EZ19" s="1">
        <v>6</v>
      </c>
      <c r="FA19" s="1">
        <v>3543</v>
      </c>
      <c r="FB19" s="1">
        <v>7182</v>
      </c>
      <c r="FC19" s="1">
        <v>6545</v>
      </c>
      <c r="FD19" s="1">
        <v>534</v>
      </c>
      <c r="FE19" s="1">
        <v>4169</v>
      </c>
      <c r="FF19" s="1">
        <v>5034</v>
      </c>
      <c r="FG19" s="1">
        <v>5763</v>
      </c>
      <c r="FH19" s="1">
        <v>4162</v>
      </c>
      <c r="FI19" s="1">
        <v>5605</v>
      </c>
      <c r="FJ19" s="1">
        <v>3760</v>
      </c>
      <c r="FK19" s="1">
        <v>7638</v>
      </c>
      <c r="FL19" s="1">
        <v>2044</v>
      </c>
      <c r="FM19" s="1">
        <v>8165</v>
      </c>
      <c r="FN19" s="1">
        <v>1776</v>
      </c>
      <c r="FO19" s="1">
        <v>535</v>
      </c>
      <c r="FP19" s="1">
        <v>4195</v>
      </c>
      <c r="FQ19" s="9">
        <v>70656</v>
      </c>
      <c r="FR19" s="1"/>
      <c r="FS19" s="1">
        <v>6</v>
      </c>
      <c r="FT19" s="1">
        <v>3532</v>
      </c>
      <c r="FU19" s="1">
        <v>7179</v>
      </c>
      <c r="FV19" s="1">
        <v>6518</v>
      </c>
      <c r="FW19" s="1">
        <v>531</v>
      </c>
      <c r="FX19" s="1">
        <v>4187</v>
      </c>
      <c r="FY19" s="1">
        <v>5019</v>
      </c>
      <c r="FZ19" s="1">
        <v>5781</v>
      </c>
      <c r="GA19" s="1">
        <v>4178</v>
      </c>
      <c r="GB19" s="1">
        <v>5615</v>
      </c>
      <c r="GC19" s="1">
        <v>3757</v>
      </c>
      <c r="GD19" s="1">
        <v>7622</v>
      </c>
      <c r="GE19" s="1">
        <v>2039</v>
      </c>
      <c r="GF19" s="1">
        <v>8230</v>
      </c>
      <c r="GG19" s="1">
        <v>1778</v>
      </c>
      <c r="GH19" s="1">
        <v>540</v>
      </c>
      <c r="GI19" s="1">
        <v>4195</v>
      </c>
      <c r="GJ19" s="9">
        <v>70707</v>
      </c>
      <c r="GK19" s="1"/>
      <c r="GL19" s="1">
        <v>17</v>
      </c>
      <c r="GM19" s="1">
        <v>3524</v>
      </c>
      <c r="GN19" s="1">
        <v>7183</v>
      </c>
      <c r="GO19" s="1">
        <v>6445</v>
      </c>
      <c r="GP19" s="1">
        <v>523</v>
      </c>
      <c r="GQ19" s="1">
        <v>4161</v>
      </c>
      <c r="GR19" s="1">
        <v>5025</v>
      </c>
      <c r="GS19" s="1">
        <v>5852</v>
      </c>
      <c r="GT19" s="1">
        <v>4187</v>
      </c>
      <c r="GU19" s="1">
        <v>5613</v>
      </c>
      <c r="GV19" s="1">
        <v>3753</v>
      </c>
      <c r="GW19" s="1">
        <v>7539</v>
      </c>
      <c r="GX19" s="1">
        <v>2048</v>
      </c>
      <c r="GY19" s="1">
        <v>8233</v>
      </c>
      <c r="GZ19" s="1">
        <v>1753</v>
      </c>
      <c r="HA19" s="1">
        <v>534</v>
      </c>
      <c r="HB19" s="1">
        <v>4209</v>
      </c>
      <c r="HC19" s="9">
        <v>70599</v>
      </c>
      <c r="HD19" s="1"/>
      <c r="HE19" s="1">
        <v>17</v>
      </c>
      <c r="HF19" s="1">
        <v>3528</v>
      </c>
      <c r="HG19" s="1">
        <v>7213</v>
      </c>
      <c r="HH19" s="1">
        <v>6544</v>
      </c>
      <c r="HI19" s="1">
        <v>523</v>
      </c>
      <c r="HJ19" s="1">
        <v>4190</v>
      </c>
      <c r="HK19" s="1">
        <v>5013</v>
      </c>
      <c r="HL19" s="1">
        <v>5863</v>
      </c>
      <c r="HM19" s="1">
        <v>4196</v>
      </c>
      <c r="HN19" s="1">
        <v>5623</v>
      </c>
      <c r="HO19" s="1">
        <v>3730</v>
      </c>
      <c r="HP19" s="1">
        <v>7636</v>
      </c>
      <c r="HQ19" s="1">
        <v>2059</v>
      </c>
      <c r="HR19" s="1">
        <v>8238</v>
      </c>
      <c r="HS19" s="1">
        <v>1781</v>
      </c>
      <c r="HT19" s="1">
        <v>535</v>
      </c>
      <c r="HU19" s="1">
        <v>4216</v>
      </c>
      <c r="HV19" s="9">
        <v>70905</v>
      </c>
      <c r="HW19" s="1">
        <f t="shared" si="0"/>
        <v>831475</v>
      </c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</row>
    <row r="20" spans="1:249" x14ac:dyDescent="0.4">
      <c r="A20" t="s">
        <v>49</v>
      </c>
      <c r="B20" t="s">
        <v>47</v>
      </c>
      <c r="C20" s="1"/>
      <c r="D20" s="1"/>
      <c r="E20" s="1">
        <v>783</v>
      </c>
      <c r="F20" s="1">
        <v>1705</v>
      </c>
      <c r="G20" s="1">
        <v>1665</v>
      </c>
      <c r="H20" s="1">
        <v>124</v>
      </c>
      <c r="I20" s="1">
        <v>773</v>
      </c>
      <c r="J20" s="1">
        <v>596</v>
      </c>
      <c r="K20" s="1">
        <v>1109</v>
      </c>
      <c r="L20" s="1">
        <v>1174</v>
      </c>
      <c r="M20" s="1">
        <v>2162</v>
      </c>
      <c r="N20" s="1">
        <v>832</v>
      </c>
      <c r="O20" s="1">
        <v>1201</v>
      </c>
      <c r="P20" s="1">
        <v>488</v>
      </c>
      <c r="Q20" s="1">
        <v>2003</v>
      </c>
      <c r="R20" s="1">
        <v>346</v>
      </c>
      <c r="S20" s="1">
        <v>160</v>
      </c>
      <c r="T20" s="1">
        <v>638</v>
      </c>
      <c r="U20" s="9">
        <v>15759</v>
      </c>
      <c r="V20" s="1"/>
      <c r="W20" s="1"/>
      <c r="X20" s="1">
        <v>790</v>
      </c>
      <c r="Y20" s="1">
        <v>1729</v>
      </c>
      <c r="Z20" s="1">
        <v>1665</v>
      </c>
      <c r="AA20" s="1">
        <v>124</v>
      </c>
      <c r="AB20" s="1">
        <v>779</v>
      </c>
      <c r="AC20" s="1">
        <v>596</v>
      </c>
      <c r="AD20" s="1">
        <v>1112</v>
      </c>
      <c r="AE20" s="1">
        <v>1182</v>
      </c>
      <c r="AF20" s="1">
        <v>2162</v>
      </c>
      <c r="AG20" s="1">
        <v>832</v>
      </c>
      <c r="AH20" s="1">
        <v>1218</v>
      </c>
      <c r="AI20" s="1">
        <v>489</v>
      </c>
      <c r="AJ20" s="1">
        <v>2007</v>
      </c>
      <c r="AK20" s="1">
        <v>342</v>
      </c>
      <c r="AL20" s="1">
        <v>165</v>
      </c>
      <c r="AM20" s="1">
        <v>618</v>
      </c>
      <c r="AN20" s="9">
        <v>15810</v>
      </c>
      <c r="AO20" s="1"/>
      <c r="AP20" s="1">
        <v>4</v>
      </c>
      <c r="AQ20" s="1">
        <v>799</v>
      </c>
      <c r="AR20" s="1">
        <v>1759</v>
      </c>
      <c r="AS20" s="1">
        <v>1670</v>
      </c>
      <c r="AT20" s="1">
        <v>133</v>
      </c>
      <c r="AU20" s="1">
        <v>796</v>
      </c>
      <c r="AV20" s="1">
        <v>602</v>
      </c>
      <c r="AW20" s="1">
        <v>1104</v>
      </c>
      <c r="AX20" s="1">
        <v>1190</v>
      </c>
      <c r="AY20" s="1">
        <v>2152</v>
      </c>
      <c r="AZ20" s="1">
        <v>838</v>
      </c>
      <c r="BA20" s="1">
        <v>1263</v>
      </c>
      <c r="BB20" s="1">
        <v>491</v>
      </c>
      <c r="BC20" s="1">
        <v>2006</v>
      </c>
      <c r="BD20" s="1">
        <v>342</v>
      </c>
      <c r="BE20" s="1">
        <v>165</v>
      </c>
      <c r="BF20" s="1">
        <v>595</v>
      </c>
      <c r="BG20" s="9">
        <v>15909</v>
      </c>
      <c r="BH20" s="1"/>
      <c r="BI20" s="1">
        <v>4</v>
      </c>
      <c r="BJ20" s="1">
        <v>805</v>
      </c>
      <c r="BK20" s="1">
        <v>1742</v>
      </c>
      <c r="BL20" s="1">
        <v>1672</v>
      </c>
      <c r="BM20" s="1">
        <v>128</v>
      </c>
      <c r="BN20" s="1">
        <v>805</v>
      </c>
      <c r="BO20" s="1">
        <v>605</v>
      </c>
      <c r="BP20" s="1">
        <v>1104</v>
      </c>
      <c r="BQ20" s="1">
        <v>1218</v>
      </c>
      <c r="BR20" s="1">
        <v>2135</v>
      </c>
      <c r="BS20" s="1">
        <v>821</v>
      </c>
      <c r="BT20" s="1">
        <v>1256</v>
      </c>
      <c r="BU20" s="1">
        <v>497</v>
      </c>
      <c r="BV20" s="1">
        <v>2008</v>
      </c>
      <c r="BW20" s="1">
        <v>351</v>
      </c>
      <c r="BX20" s="1">
        <v>167</v>
      </c>
      <c r="BY20" s="1">
        <v>595</v>
      </c>
      <c r="BZ20" s="9">
        <v>15913</v>
      </c>
      <c r="CA20" s="1"/>
      <c r="CB20" s="1">
        <v>4</v>
      </c>
      <c r="CC20" s="1">
        <v>808</v>
      </c>
      <c r="CD20" s="1">
        <v>1745</v>
      </c>
      <c r="CE20" s="1">
        <v>1670</v>
      </c>
      <c r="CF20" s="1">
        <v>130</v>
      </c>
      <c r="CG20" s="1">
        <v>785</v>
      </c>
      <c r="CH20" s="1">
        <v>603</v>
      </c>
      <c r="CI20" s="1">
        <v>1102</v>
      </c>
      <c r="CJ20" s="1">
        <v>1216</v>
      </c>
      <c r="CK20" s="1">
        <v>2121</v>
      </c>
      <c r="CL20" s="1">
        <v>820</v>
      </c>
      <c r="CM20" s="1">
        <v>1256</v>
      </c>
      <c r="CN20" s="1">
        <v>499</v>
      </c>
      <c r="CO20" s="1">
        <v>2026</v>
      </c>
      <c r="CP20" s="1">
        <v>360</v>
      </c>
      <c r="CQ20" s="1">
        <v>167</v>
      </c>
      <c r="CR20" s="1">
        <v>594</v>
      </c>
      <c r="CS20" s="9">
        <v>15906</v>
      </c>
      <c r="CT20" s="1"/>
      <c r="CU20" s="1">
        <v>4</v>
      </c>
      <c r="CV20" s="1">
        <v>815</v>
      </c>
      <c r="CW20" s="1">
        <v>1752</v>
      </c>
      <c r="CX20" s="1">
        <v>1669</v>
      </c>
      <c r="CY20" s="1">
        <v>134</v>
      </c>
      <c r="CZ20" s="1">
        <v>784</v>
      </c>
      <c r="DA20" s="1">
        <v>600</v>
      </c>
      <c r="DB20" s="1">
        <v>1106</v>
      </c>
      <c r="DC20" s="1">
        <v>1230</v>
      </c>
      <c r="DD20" s="1">
        <v>2110</v>
      </c>
      <c r="DE20" s="1">
        <v>819</v>
      </c>
      <c r="DF20" s="1">
        <v>1267</v>
      </c>
      <c r="DG20" s="1">
        <v>498</v>
      </c>
      <c r="DH20" s="1">
        <v>2055</v>
      </c>
      <c r="DI20" s="1">
        <v>360</v>
      </c>
      <c r="DJ20" s="1">
        <v>168</v>
      </c>
      <c r="DK20" s="1">
        <v>595</v>
      </c>
      <c r="DL20" s="9">
        <v>15966</v>
      </c>
      <c r="DM20" s="1"/>
      <c r="DN20" s="1">
        <v>4</v>
      </c>
      <c r="DO20" s="1">
        <v>810</v>
      </c>
      <c r="DP20" s="1">
        <v>1751</v>
      </c>
      <c r="DQ20" s="1">
        <v>1660</v>
      </c>
      <c r="DR20" s="1">
        <v>134</v>
      </c>
      <c r="DS20" s="1">
        <v>785</v>
      </c>
      <c r="DT20" s="1">
        <v>602</v>
      </c>
      <c r="DU20" s="1">
        <v>1106</v>
      </c>
      <c r="DV20" s="1">
        <v>1302</v>
      </c>
      <c r="DW20" s="1">
        <v>2110</v>
      </c>
      <c r="DX20" s="1">
        <v>806</v>
      </c>
      <c r="DY20" s="1">
        <v>1281</v>
      </c>
      <c r="DZ20" s="1">
        <v>497</v>
      </c>
      <c r="EA20" s="1">
        <v>2059</v>
      </c>
      <c r="EB20" s="1">
        <v>360</v>
      </c>
      <c r="EC20" s="1">
        <v>169</v>
      </c>
      <c r="ED20" s="1">
        <v>595</v>
      </c>
      <c r="EE20" s="9">
        <v>16031</v>
      </c>
      <c r="EF20" s="1"/>
      <c r="EG20" s="1">
        <v>4</v>
      </c>
      <c r="EH20" s="1">
        <v>812</v>
      </c>
      <c r="EI20" s="1">
        <v>1760</v>
      </c>
      <c r="EJ20" s="1">
        <v>1660</v>
      </c>
      <c r="EK20" s="1">
        <v>135</v>
      </c>
      <c r="EL20" s="1">
        <v>786</v>
      </c>
      <c r="EM20" s="1">
        <v>599</v>
      </c>
      <c r="EN20" s="1">
        <v>1100</v>
      </c>
      <c r="EO20" s="1">
        <v>1314</v>
      </c>
      <c r="EP20" s="1">
        <v>2110</v>
      </c>
      <c r="EQ20" s="1">
        <v>806</v>
      </c>
      <c r="ER20" s="1">
        <v>1287</v>
      </c>
      <c r="ES20" s="1">
        <v>501</v>
      </c>
      <c r="ET20" s="1">
        <v>2062</v>
      </c>
      <c r="EU20" s="1">
        <v>361</v>
      </c>
      <c r="EV20" s="1">
        <v>173</v>
      </c>
      <c r="EW20" s="1">
        <v>596</v>
      </c>
      <c r="EX20" s="9">
        <v>16066</v>
      </c>
      <c r="EY20" s="1"/>
      <c r="EZ20" s="1">
        <v>4</v>
      </c>
      <c r="FA20" s="1">
        <v>813</v>
      </c>
      <c r="FB20" s="1">
        <v>1724</v>
      </c>
      <c r="FC20" s="1">
        <v>1655</v>
      </c>
      <c r="FD20" s="1">
        <v>138</v>
      </c>
      <c r="FE20" s="1">
        <v>790</v>
      </c>
      <c r="FF20" s="1">
        <v>616</v>
      </c>
      <c r="FG20" s="1">
        <v>1083</v>
      </c>
      <c r="FH20" s="1">
        <v>1317</v>
      </c>
      <c r="FI20" s="1">
        <v>2122</v>
      </c>
      <c r="FJ20" s="1">
        <v>807</v>
      </c>
      <c r="FK20" s="1">
        <v>1297</v>
      </c>
      <c r="FL20" s="1">
        <v>504</v>
      </c>
      <c r="FM20" s="1">
        <v>2072</v>
      </c>
      <c r="FN20" s="1">
        <v>331</v>
      </c>
      <c r="FO20" s="1">
        <v>173</v>
      </c>
      <c r="FP20" s="1">
        <v>598</v>
      </c>
      <c r="FQ20" s="9">
        <v>16044</v>
      </c>
      <c r="FR20" s="1"/>
      <c r="FS20" s="1">
        <v>4</v>
      </c>
      <c r="FT20" s="1">
        <v>811</v>
      </c>
      <c r="FU20" s="1">
        <v>1722</v>
      </c>
      <c r="FV20" s="1">
        <v>1640</v>
      </c>
      <c r="FW20" s="1">
        <v>135</v>
      </c>
      <c r="FX20" s="1">
        <v>791</v>
      </c>
      <c r="FY20" s="1">
        <v>615</v>
      </c>
      <c r="FZ20" s="1">
        <v>1084</v>
      </c>
      <c r="GA20" s="1">
        <v>1348</v>
      </c>
      <c r="GB20" s="1">
        <v>2122</v>
      </c>
      <c r="GC20" s="1">
        <v>803</v>
      </c>
      <c r="GD20" s="1">
        <v>1314</v>
      </c>
      <c r="GE20" s="1">
        <v>502</v>
      </c>
      <c r="GF20" s="1">
        <v>2069</v>
      </c>
      <c r="GG20" s="1">
        <v>332</v>
      </c>
      <c r="GH20" s="1">
        <v>174</v>
      </c>
      <c r="GI20" s="1">
        <v>607</v>
      </c>
      <c r="GJ20" s="9">
        <v>16073</v>
      </c>
      <c r="GK20" s="1"/>
      <c r="GL20" s="1">
        <v>4</v>
      </c>
      <c r="GM20" s="1">
        <v>812</v>
      </c>
      <c r="GN20" s="1">
        <v>1704</v>
      </c>
      <c r="GO20" s="1">
        <v>1638</v>
      </c>
      <c r="GP20" s="1">
        <v>136</v>
      </c>
      <c r="GQ20" s="1">
        <v>789</v>
      </c>
      <c r="GR20" s="1">
        <v>616</v>
      </c>
      <c r="GS20" s="1">
        <v>1085</v>
      </c>
      <c r="GT20" s="1">
        <v>1373</v>
      </c>
      <c r="GU20" s="1">
        <v>2124</v>
      </c>
      <c r="GV20" s="1">
        <v>803</v>
      </c>
      <c r="GW20" s="1">
        <v>1300</v>
      </c>
      <c r="GX20" s="1">
        <v>498</v>
      </c>
      <c r="GY20" s="1">
        <v>2067</v>
      </c>
      <c r="GZ20" s="1">
        <v>332</v>
      </c>
      <c r="HA20" s="1">
        <v>174</v>
      </c>
      <c r="HB20" s="1">
        <v>597</v>
      </c>
      <c r="HC20" s="9">
        <v>16052</v>
      </c>
      <c r="HD20" s="1"/>
      <c r="HE20" s="1">
        <v>4</v>
      </c>
      <c r="HF20" s="1">
        <v>809</v>
      </c>
      <c r="HG20" s="1">
        <v>1697</v>
      </c>
      <c r="HH20" s="1">
        <v>1625</v>
      </c>
      <c r="HI20" s="1">
        <v>136</v>
      </c>
      <c r="HJ20" s="1">
        <v>784</v>
      </c>
      <c r="HK20" s="1">
        <v>616</v>
      </c>
      <c r="HL20" s="1">
        <v>1090</v>
      </c>
      <c r="HM20" s="1">
        <v>1374</v>
      </c>
      <c r="HN20" s="1">
        <v>2136</v>
      </c>
      <c r="HO20" s="1">
        <v>808</v>
      </c>
      <c r="HP20" s="1">
        <v>1308</v>
      </c>
      <c r="HQ20" s="1">
        <v>497</v>
      </c>
      <c r="HR20" s="1">
        <v>2067</v>
      </c>
      <c r="HS20" s="1">
        <v>331</v>
      </c>
      <c r="HT20" s="1">
        <v>174</v>
      </c>
      <c r="HU20" s="1">
        <v>610</v>
      </c>
      <c r="HV20" s="9">
        <v>16066</v>
      </c>
      <c r="HW20" s="1">
        <f t="shared" si="0"/>
        <v>191595</v>
      </c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</row>
    <row r="21" spans="1:249" s="6" customFormat="1" x14ac:dyDescent="0.4">
      <c r="A21" s="6" t="s">
        <v>49</v>
      </c>
      <c r="B21" s="6" t="s">
        <v>12</v>
      </c>
      <c r="C21" s="7">
        <v>3800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9">
        <v>3800</v>
      </c>
      <c r="V21" s="7">
        <v>3481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9">
        <v>3481</v>
      </c>
      <c r="AO21" s="7">
        <v>3339</v>
      </c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9">
        <v>3339</v>
      </c>
      <c r="BH21" s="7">
        <v>3069</v>
      </c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9">
        <v>3069</v>
      </c>
      <c r="CA21" s="7">
        <v>2508</v>
      </c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9">
        <v>2508</v>
      </c>
      <c r="CT21" s="7">
        <v>2283</v>
      </c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9">
        <v>2283</v>
      </c>
      <c r="DM21" s="7">
        <v>2184</v>
      </c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9">
        <v>2184</v>
      </c>
      <c r="EF21" s="7">
        <v>2206</v>
      </c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9">
        <v>2206</v>
      </c>
      <c r="EY21" s="7">
        <v>2006</v>
      </c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9">
        <v>2006</v>
      </c>
      <c r="FR21" s="7">
        <v>1920</v>
      </c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9">
        <v>1920</v>
      </c>
      <c r="GK21" s="7">
        <v>1759</v>
      </c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9">
        <v>1759</v>
      </c>
      <c r="HD21" s="7">
        <v>1903</v>
      </c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9">
        <v>1903</v>
      </c>
      <c r="HW21" s="7">
        <f t="shared" si="0"/>
        <v>30458</v>
      </c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</row>
    <row r="22" spans="1:249" x14ac:dyDescent="0.4">
      <c r="A22" t="s">
        <v>49</v>
      </c>
      <c r="B22" t="s">
        <v>10</v>
      </c>
      <c r="C22" s="1"/>
      <c r="D22" s="1">
        <v>138</v>
      </c>
      <c r="E22" s="1">
        <v>177</v>
      </c>
      <c r="F22" s="1">
        <v>290</v>
      </c>
      <c r="G22" s="1">
        <v>186</v>
      </c>
      <c r="H22" s="1">
        <v>286</v>
      </c>
      <c r="I22" s="1">
        <v>118</v>
      </c>
      <c r="J22" s="1">
        <v>128</v>
      </c>
      <c r="K22" s="1">
        <v>491</v>
      </c>
      <c r="L22" s="1">
        <v>435</v>
      </c>
      <c r="M22" s="1">
        <v>355</v>
      </c>
      <c r="N22" s="1">
        <v>193</v>
      </c>
      <c r="O22" s="1">
        <v>313</v>
      </c>
      <c r="P22" s="1">
        <v>132</v>
      </c>
      <c r="Q22" s="1">
        <v>368</v>
      </c>
      <c r="R22" s="1">
        <v>111</v>
      </c>
      <c r="S22" s="1">
        <v>45</v>
      </c>
      <c r="T22" s="1">
        <v>144</v>
      </c>
      <c r="U22" s="9">
        <v>3910</v>
      </c>
      <c r="V22" s="1"/>
      <c r="W22" s="1">
        <v>120</v>
      </c>
      <c r="X22" s="1">
        <v>169</v>
      </c>
      <c r="Y22" s="1">
        <v>261</v>
      </c>
      <c r="Z22" s="1">
        <v>160</v>
      </c>
      <c r="AA22" s="1">
        <v>280</v>
      </c>
      <c r="AB22" s="1">
        <v>145</v>
      </c>
      <c r="AC22" s="1">
        <v>118</v>
      </c>
      <c r="AD22" s="1">
        <v>520</v>
      </c>
      <c r="AE22" s="1">
        <v>372</v>
      </c>
      <c r="AF22" s="1">
        <v>369</v>
      </c>
      <c r="AG22" s="1">
        <v>201</v>
      </c>
      <c r="AH22" s="1">
        <v>289</v>
      </c>
      <c r="AI22" s="1">
        <v>131</v>
      </c>
      <c r="AJ22" s="1">
        <v>387</v>
      </c>
      <c r="AK22" s="1">
        <v>104</v>
      </c>
      <c r="AL22" s="1">
        <v>40</v>
      </c>
      <c r="AM22" s="1">
        <v>148</v>
      </c>
      <c r="AN22" s="9">
        <v>3814</v>
      </c>
      <c r="AO22" s="1"/>
      <c r="AP22" s="1">
        <v>110</v>
      </c>
      <c r="AQ22" s="1">
        <v>178</v>
      </c>
      <c r="AR22" s="1">
        <v>232</v>
      </c>
      <c r="AS22" s="1">
        <v>176</v>
      </c>
      <c r="AT22" s="1">
        <v>305</v>
      </c>
      <c r="AU22" s="1">
        <v>160</v>
      </c>
      <c r="AV22" s="1">
        <v>119</v>
      </c>
      <c r="AW22" s="1">
        <v>460</v>
      </c>
      <c r="AX22" s="1">
        <v>331</v>
      </c>
      <c r="AY22" s="1">
        <v>313</v>
      </c>
      <c r="AZ22" s="1">
        <v>200</v>
      </c>
      <c r="BA22" s="1">
        <v>283</v>
      </c>
      <c r="BB22" s="1">
        <v>125</v>
      </c>
      <c r="BC22" s="1">
        <v>379</v>
      </c>
      <c r="BD22" s="1">
        <v>105</v>
      </c>
      <c r="BE22" s="1">
        <v>35</v>
      </c>
      <c r="BF22" s="1">
        <v>146</v>
      </c>
      <c r="BG22" s="9">
        <v>3657</v>
      </c>
      <c r="BH22" s="1"/>
      <c r="BI22" s="1">
        <v>84</v>
      </c>
      <c r="BJ22" s="1">
        <v>189</v>
      </c>
      <c r="BK22" s="1">
        <v>250</v>
      </c>
      <c r="BL22" s="1">
        <v>193</v>
      </c>
      <c r="BM22" s="1">
        <v>275</v>
      </c>
      <c r="BN22" s="1">
        <v>174</v>
      </c>
      <c r="BO22" s="1">
        <v>103</v>
      </c>
      <c r="BP22" s="1">
        <v>436</v>
      </c>
      <c r="BQ22" s="1">
        <v>266</v>
      </c>
      <c r="BR22" s="1">
        <v>317</v>
      </c>
      <c r="BS22" s="1">
        <v>154</v>
      </c>
      <c r="BT22" s="1">
        <v>279</v>
      </c>
      <c r="BU22" s="1">
        <v>121</v>
      </c>
      <c r="BV22" s="1">
        <v>464</v>
      </c>
      <c r="BW22" s="1">
        <v>104</v>
      </c>
      <c r="BX22" s="1">
        <v>39</v>
      </c>
      <c r="BY22" s="1">
        <v>156</v>
      </c>
      <c r="BZ22" s="9">
        <v>3604</v>
      </c>
      <c r="CA22" s="1"/>
      <c r="CB22" s="1">
        <v>84</v>
      </c>
      <c r="CC22" s="1">
        <v>156</v>
      </c>
      <c r="CD22" s="1">
        <v>268</v>
      </c>
      <c r="CE22" s="1">
        <v>250</v>
      </c>
      <c r="CF22" s="1">
        <v>289</v>
      </c>
      <c r="CG22" s="1">
        <v>181</v>
      </c>
      <c r="CH22" s="1">
        <v>107</v>
      </c>
      <c r="CI22" s="1">
        <v>437</v>
      </c>
      <c r="CJ22" s="1">
        <v>225</v>
      </c>
      <c r="CK22" s="1">
        <v>349</v>
      </c>
      <c r="CL22" s="1">
        <v>155</v>
      </c>
      <c r="CM22" s="1">
        <v>285</v>
      </c>
      <c r="CN22" s="1">
        <v>126</v>
      </c>
      <c r="CO22" s="1">
        <v>519</v>
      </c>
      <c r="CP22" s="1">
        <v>106</v>
      </c>
      <c r="CQ22" s="1">
        <v>39</v>
      </c>
      <c r="CR22" s="1">
        <v>169</v>
      </c>
      <c r="CS22" s="9">
        <v>3745</v>
      </c>
      <c r="CT22" s="1"/>
      <c r="CU22" s="1">
        <v>36</v>
      </c>
      <c r="CV22" s="1">
        <v>173</v>
      </c>
      <c r="CW22" s="1">
        <v>273</v>
      </c>
      <c r="CX22" s="1">
        <v>286</v>
      </c>
      <c r="CY22" s="1">
        <v>289</v>
      </c>
      <c r="CZ22" s="1">
        <v>189</v>
      </c>
      <c r="DA22" s="1">
        <v>112</v>
      </c>
      <c r="DB22" s="1">
        <v>472</v>
      </c>
      <c r="DC22" s="1">
        <v>146</v>
      </c>
      <c r="DD22" s="1">
        <v>375</v>
      </c>
      <c r="DE22" s="1">
        <v>123</v>
      </c>
      <c r="DF22" s="1">
        <v>270</v>
      </c>
      <c r="DG22" s="1">
        <v>125</v>
      </c>
      <c r="DH22" s="1">
        <v>412</v>
      </c>
      <c r="DI22" s="1">
        <v>98</v>
      </c>
      <c r="DJ22" s="1">
        <v>45</v>
      </c>
      <c r="DK22" s="1">
        <v>169</v>
      </c>
      <c r="DL22" s="9">
        <v>3593</v>
      </c>
      <c r="DM22" s="1"/>
      <c r="DN22" s="1">
        <v>55</v>
      </c>
      <c r="DO22" s="1">
        <v>171</v>
      </c>
      <c r="DP22" s="1">
        <v>284</v>
      </c>
      <c r="DQ22" s="1">
        <v>283</v>
      </c>
      <c r="DR22" s="1">
        <v>285</v>
      </c>
      <c r="DS22" s="1">
        <v>140</v>
      </c>
      <c r="DT22" s="1">
        <v>105</v>
      </c>
      <c r="DU22" s="1">
        <v>404</v>
      </c>
      <c r="DV22" s="1">
        <v>129</v>
      </c>
      <c r="DW22" s="1">
        <v>366</v>
      </c>
      <c r="DX22" s="1">
        <v>112</v>
      </c>
      <c r="DY22" s="1">
        <v>269</v>
      </c>
      <c r="DZ22" s="1">
        <v>130</v>
      </c>
      <c r="EA22" s="1">
        <v>422</v>
      </c>
      <c r="EB22" s="1">
        <v>86</v>
      </c>
      <c r="EC22" s="1">
        <v>44</v>
      </c>
      <c r="ED22" s="1">
        <v>166</v>
      </c>
      <c r="EE22" s="9">
        <v>3451</v>
      </c>
      <c r="EF22" s="1"/>
      <c r="EG22" s="1">
        <v>61</v>
      </c>
      <c r="EH22" s="1">
        <v>179</v>
      </c>
      <c r="EI22" s="1">
        <v>251</v>
      </c>
      <c r="EJ22" s="1">
        <v>308</v>
      </c>
      <c r="EK22" s="1">
        <v>246</v>
      </c>
      <c r="EL22" s="1">
        <v>111</v>
      </c>
      <c r="EM22" s="1">
        <v>107</v>
      </c>
      <c r="EN22" s="1">
        <v>369</v>
      </c>
      <c r="EO22" s="1">
        <v>131</v>
      </c>
      <c r="EP22" s="1">
        <v>353</v>
      </c>
      <c r="EQ22" s="1">
        <v>115</v>
      </c>
      <c r="ER22" s="1">
        <v>275</v>
      </c>
      <c r="ES22" s="1">
        <v>116</v>
      </c>
      <c r="ET22" s="1">
        <v>413</v>
      </c>
      <c r="EU22" s="1">
        <v>81</v>
      </c>
      <c r="EV22" s="1">
        <v>34</v>
      </c>
      <c r="EW22" s="1">
        <v>144</v>
      </c>
      <c r="EX22" s="9">
        <v>3294</v>
      </c>
      <c r="EY22" s="1"/>
      <c r="EZ22" s="1">
        <v>67</v>
      </c>
      <c r="FA22" s="1">
        <v>181</v>
      </c>
      <c r="FB22" s="1">
        <v>235</v>
      </c>
      <c r="FC22" s="1">
        <v>339</v>
      </c>
      <c r="FD22" s="1">
        <v>233</v>
      </c>
      <c r="FE22" s="1">
        <v>110</v>
      </c>
      <c r="FF22" s="1">
        <v>98</v>
      </c>
      <c r="FG22" s="1">
        <v>318</v>
      </c>
      <c r="FH22" s="1">
        <v>114</v>
      </c>
      <c r="FI22" s="1">
        <v>347</v>
      </c>
      <c r="FJ22" s="1">
        <v>128</v>
      </c>
      <c r="FK22" s="1">
        <v>228</v>
      </c>
      <c r="FL22" s="1">
        <v>109</v>
      </c>
      <c r="FM22" s="1">
        <v>409</v>
      </c>
      <c r="FN22" s="1">
        <v>71</v>
      </c>
      <c r="FO22" s="1">
        <v>31</v>
      </c>
      <c r="FP22" s="1">
        <v>154</v>
      </c>
      <c r="FQ22" s="9">
        <v>3172</v>
      </c>
      <c r="FR22" s="1"/>
      <c r="FS22" s="1">
        <v>125</v>
      </c>
      <c r="FT22" s="1">
        <v>176</v>
      </c>
      <c r="FU22" s="1">
        <v>255</v>
      </c>
      <c r="FV22" s="1">
        <v>372</v>
      </c>
      <c r="FW22" s="1">
        <v>237</v>
      </c>
      <c r="FX22" s="1">
        <v>100</v>
      </c>
      <c r="FY22" s="1">
        <v>103</v>
      </c>
      <c r="FZ22" s="1">
        <v>310</v>
      </c>
      <c r="GA22" s="1">
        <v>106</v>
      </c>
      <c r="GB22" s="1">
        <v>368</v>
      </c>
      <c r="GC22" s="1">
        <v>143</v>
      </c>
      <c r="GD22" s="1">
        <v>221</v>
      </c>
      <c r="GE22" s="1">
        <v>105</v>
      </c>
      <c r="GF22" s="1">
        <v>404</v>
      </c>
      <c r="GG22" s="1">
        <v>75</v>
      </c>
      <c r="GH22" s="1">
        <v>34</v>
      </c>
      <c r="GI22" s="1">
        <v>141</v>
      </c>
      <c r="GJ22" s="9">
        <v>3275</v>
      </c>
      <c r="GK22" s="1"/>
      <c r="GL22" s="1">
        <v>114</v>
      </c>
      <c r="GM22" s="1">
        <v>178</v>
      </c>
      <c r="GN22" s="1">
        <v>260</v>
      </c>
      <c r="GO22" s="1">
        <v>386</v>
      </c>
      <c r="GP22" s="1">
        <v>224</v>
      </c>
      <c r="GQ22" s="1">
        <v>108</v>
      </c>
      <c r="GR22" s="1">
        <v>124</v>
      </c>
      <c r="GS22" s="1">
        <v>311</v>
      </c>
      <c r="GT22" s="1">
        <v>110</v>
      </c>
      <c r="GU22" s="1">
        <v>377</v>
      </c>
      <c r="GV22" s="1">
        <v>165</v>
      </c>
      <c r="GW22" s="1">
        <v>231</v>
      </c>
      <c r="GX22" s="1">
        <v>108</v>
      </c>
      <c r="GY22" s="1">
        <v>421</v>
      </c>
      <c r="GZ22" s="1">
        <v>75</v>
      </c>
      <c r="HA22" s="1">
        <v>44</v>
      </c>
      <c r="HB22" s="1">
        <v>147</v>
      </c>
      <c r="HC22" s="9">
        <v>3383</v>
      </c>
      <c r="HD22" s="1"/>
      <c r="HE22" s="1">
        <v>118</v>
      </c>
      <c r="HF22" s="1">
        <v>170</v>
      </c>
      <c r="HG22" s="1">
        <v>274</v>
      </c>
      <c r="HH22" s="1">
        <v>407</v>
      </c>
      <c r="HI22" s="1">
        <v>241</v>
      </c>
      <c r="HJ22" s="1">
        <v>118</v>
      </c>
      <c r="HK22" s="1">
        <v>126</v>
      </c>
      <c r="HL22" s="1">
        <v>309</v>
      </c>
      <c r="HM22" s="1">
        <v>116</v>
      </c>
      <c r="HN22" s="1">
        <v>385</v>
      </c>
      <c r="HO22" s="1">
        <v>172</v>
      </c>
      <c r="HP22" s="1">
        <v>222</v>
      </c>
      <c r="HQ22" s="1">
        <v>113</v>
      </c>
      <c r="HR22" s="1">
        <v>422</v>
      </c>
      <c r="HS22" s="1">
        <v>57</v>
      </c>
      <c r="HT22" s="1">
        <v>48</v>
      </c>
      <c r="HU22" s="1">
        <v>144</v>
      </c>
      <c r="HV22" s="9">
        <v>3442</v>
      </c>
      <c r="HW22" s="1">
        <f t="shared" si="0"/>
        <v>42340</v>
      </c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</row>
    <row r="23" spans="1:249" x14ac:dyDescent="0.4">
      <c r="A23" t="s">
        <v>49</v>
      </c>
      <c r="B23" t="s">
        <v>11</v>
      </c>
      <c r="C23" s="1"/>
      <c r="D23" s="1"/>
      <c r="E23" s="1">
        <v>170</v>
      </c>
      <c r="F23" s="1">
        <v>929</v>
      </c>
      <c r="G23" s="1">
        <v>982</v>
      </c>
      <c r="H23" s="1">
        <v>32</v>
      </c>
      <c r="I23" s="1">
        <v>219</v>
      </c>
      <c r="J23" s="1">
        <v>373</v>
      </c>
      <c r="K23" s="1">
        <v>688</v>
      </c>
      <c r="L23" s="1">
        <v>139</v>
      </c>
      <c r="M23" s="1">
        <v>359</v>
      </c>
      <c r="N23" s="1">
        <v>561</v>
      </c>
      <c r="O23" s="1">
        <v>1071</v>
      </c>
      <c r="P23" s="1">
        <v>128</v>
      </c>
      <c r="Q23" s="1">
        <v>472</v>
      </c>
      <c r="R23" s="1">
        <v>309</v>
      </c>
      <c r="S23" s="1">
        <v>32</v>
      </c>
      <c r="T23" s="1">
        <v>350</v>
      </c>
      <c r="U23" s="9">
        <v>6814</v>
      </c>
      <c r="V23" s="1"/>
      <c r="W23" s="1"/>
      <c r="X23" s="1">
        <v>191</v>
      </c>
      <c r="Y23" s="1">
        <v>801</v>
      </c>
      <c r="Z23" s="1">
        <v>1021</v>
      </c>
      <c r="AA23" s="1">
        <v>31</v>
      </c>
      <c r="AB23" s="1">
        <v>200</v>
      </c>
      <c r="AC23" s="1">
        <v>344</v>
      </c>
      <c r="AD23" s="1">
        <v>602</v>
      </c>
      <c r="AE23" s="1">
        <v>158</v>
      </c>
      <c r="AF23" s="1">
        <v>330</v>
      </c>
      <c r="AG23" s="1">
        <v>511</v>
      </c>
      <c r="AH23" s="1">
        <v>1054</v>
      </c>
      <c r="AI23" s="1">
        <v>142</v>
      </c>
      <c r="AJ23" s="1">
        <v>335</v>
      </c>
      <c r="AK23" s="1">
        <v>313</v>
      </c>
      <c r="AL23" s="1">
        <v>32</v>
      </c>
      <c r="AM23" s="1">
        <v>341</v>
      </c>
      <c r="AN23" s="9">
        <v>6406</v>
      </c>
      <c r="AO23" s="1"/>
      <c r="AP23" s="1"/>
      <c r="AQ23" s="1">
        <v>183</v>
      </c>
      <c r="AR23" s="1">
        <v>797</v>
      </c>
      <c r="AS23" s="1">
        <v>1001</v>
      </c>
      <c r="AT23" s="1">
        <v>19</v>
      </c>
      <c r="AU23" s="1">
        <v>126</v>
      </c>
      <c r="AV23" s="1">
        <v>304</v>
      </c>
      <c r="AW23" s="1">
        <v>581</v>
      </c>
      <c r="AX23" s="1">
        <v>158</v>
      </c>
      <c r="AY23" s="1">
        <v>235</v>
      </c>
      <c r="AZ23" s="1">
        <v>501</v>
      </c>
      <c r="BA23" s="1">
        <v>1015</v>
      </c>
      <c r="BB23" s="1">
        <v>138</v>
      </c>
      <c r="BC23" s="1">
        <v>363</v>
      </c>
      <c r="BD23" s="1">
        <v>314</v>
      </c>
      <c r="BE23" s="1">
        <v>29</v>
      </c>
      <c r="BF23" s="1">
        <v>304</v>
      </c>
      <c r="BG23" s="9">
        <v>6068</v>
      </c>
      <c r="BH23" s="1"/>
      <c r="BI23" s="1"/>
      <c r="BJ23" s="1">
        <v>183</v>
      </c>
      <c r="BK23" s="1">
        <v>763</v>
      </c>
      <c r="BL23" s="1">
        <v>1057</v>
      </c>
      <c r="BM23" s="1">
        <v>18</v>
      </c>
      <c r="BN23" s="1">
        <v>114</v>
      </c>
      <c r="BO23" s="1">
        <v>328</v>
      </c>
      <c r="BP23" s="1">
        <v>522</v>
      </c>
      <c r="BQ23" s="1">
        <v>205</v>
      </c>
      <c r="BR23" s="1">
        <v>301</v>
      </c>
      <c r="BS23" s="1">
        <v>518</v>
      </c>
      <c r="BT23" s="1">
        <v>865</v>
      </c>
      <c r="BU23" s="1">
        <v>128</v>
      </c>
      <c r="BV23" s="1">
        <v>439</v>
      </c>
      <c r="BW23" s="1">
        <v>297</v>
      </c>
      <c r="BX23" s="1">
        <v>26</v>
      </c>
      <c r="BY23" s="1">
        <v>301</v>
      </c>
      <c r="BZ23" s="9">
        <v>6065</v>
      </c>
      <c r="CA23" s="1"/>
      <c r="CB23" s="1"/>
      <c r="CC23" s="1">
        <v>206</v>
      </c>
      <c r="CD23" s="1">
        <v>772</v>
      </c>
      <c r="CE23" s="1">
        <v>1068</v>
      </c>
      <c r="CF23" s="1">
        <v>21</v>
      </c>
      <c r="CG23" s="1">
        <v>139</v>
      </c>
      <c r="CH23" s="1">
        <v>325</v>
      </c>
      <c r="CI23" s="1">
        <v>539</v>
      </c>
      <c r="CJ23" s="1">
        <v>243</v>
      </c>
      <c r="CK23" s="1">
        <v>312</v>
      </c>
      <c r="CL23" s="1">
        <v>540</v>
      </c>
      <c r="CM23" s="1">
        <v>690</v>
      </c>
      <c r="CN23" s="1">
        <v>128</v>
      </c>
      <c r="CO23" s="1">
        <v>533</v>
      </c>
      <c r="CP23" s="1">
        <v>230</v>
      </c>
      <c r="CQ23" s="1">
        <v>25</v>
      </c>
      <c r="CR23" s="1">
        <v>255</v>
      </c>
      <c r="CS23" s="9">
        <v>6026</v>
      </c>
      <c r="CT23" s="1"/>
      <c r="CU23" s="1"/>
      <c r="CV23" s="1">
        <v>196</v>
      </c>
      <c r="CW23" s="1">
        <v>714</v>
      </c>
      <c r="CX23" s="1">
        <v>1086</v>
      </c>
      <c r="CY23" s="1">
        <v>16</v>
      </c>
      <c r="CZ23" s="1">
        <v>130</v>
      </c>
      <c r="DA23" s="1">
        <v>330</v>
      </c>
      <c r="DB23" s="1">
        <v>425</v>
      </c>
      <c r="DC23" s="1">
        <v>234</v>
      </c>
      <c r="DD23" s="1">
        <v>333</v>
      </c>
      <c r="DE23" s="1">
        <v>544</v>
      </c>
      <c r="DF23" s="1">
        <v>653</v>
      </c>
      <c r="DG23" s="1">
        <v>118</v>
      </c>
      <c r="DH23" s="1">
        <v>524</v>
      </c>
      <c r="DI23" s="1">
        <v>238</v>
      </c>
      <c r="DJ23" s="1">
        <v>3</v>
      </c>
      <c r="DK23" s="1">
        <v>233</v>
      </c>
      <c r="DL23" s="9">
        <v>5777</v>
      </c>
      <c r="DM23" s="1"/>
      <c r="DN23" s="1"/>
      <c r="DO23" s="1">
        <v>198</v>
      </c>
      <c r="DP23" s="1">
        <v>685</v>
      </c>
      <c r="DQ23" s="1">
        <v>1076</v>
      </c>
      <c r="DR23" s="1">
        <v>12</v>
      </c>
      <c r="DS23" s="1">
        <v>187</v>
      </c>
      <c r="DT23" s="1">
        <v>299</v>
      </c>
      <c r="DU23" s="1">
        <v>392</v>
      </c>
      <c r="DV23" s="1">
        <v>172</v>
      </c>
      <c r="DW23" s="1">
        <v>296</v>
      </c>
      <c r="DX23" s="1">
        <v>419</v>
      </c>
      <c r="DY23" s="1">
        <v>660</v>
      </c>
      <c r="DZ23" s="1">
        <v>95</v>
      </c>
      <c r="EA23" s="1">
        <v>449</v>
      </c>
      <c r="EB23" s="1">
        <v>246</v>
      </c>
      <c r="EC23" s="1">
        <v>4</v>
      </c>
      <c r="ED23" s="1">
        <v>234</v>
      </c>
      <c r="EE23" s="9">
        <v>5424</v>
      </c>
      <c r="EF23" s="1"/>
      <c r="EG23" s="1"/>
      <c r="EH23" s="1">
        <v>210</v>
      </c>
      <c r="EI23" s="1">
        <v>654</v>
      </c>
      <c r="EJ23" s="1">
        <v>894</v>
      </c>
      <c r="EK23" s="1">
        <v>9</v>
      </c>
      <c r="EL23" s="1">
        <v>204</v>
      </c>
      <c r="EM23" s="1">
        <v>276</v>
      </c>
      <c r="EN23" s="1">
        <v>366</v>
      </c>
      <c r="EO23" s="1">
        <v>171</v>
      </c>
      <c r="EP23" s="1">
        <v>284</v>
      </c>
      <c r="EQ23" s="1">
        <v>407</v>
      </c>
      <c r="ER23" s="1">
        <v>597</v>
      </c>
      <c r="ES23" s="1">
        <v>92</v>
      </c>
      <c r="ET23" s="1">
        <v>431</v>
      </c>
      <c r="EU23" s="1">
        <v>212</v>
      </c>
      <c r="EV23" s="1">
        <v>3</v>
      </c>
      <c r="EW23" s="1">
        <v>233</v>
      </c>
      <c r="EX23" s="9">
        <v>5043</v>
      </c>
      <c r="EY23" s="1"/>
      <c r="EZ23" s="1"/>
      <c r="FA23" s="1">
        <v>200</v>
      </c>
      <c r="FB23" s="1">
        <v>689</v>
      </c>
      <c r="FC23" s="1">
        <v>791</v>
      </c>
      <c r="FD23" s="1">
        <v>9</v>
      </c>
      <c r="FE23" s="1">
        <v>229</v>
      </c>
      <c r="FF23" s="1">
        <v>233</v>
      </c>
      <c r="FG23" s="1">
        <v>339</v>
      </c>
      <c r="FH23" s="1">
        <v>176</v>
      </c>
      <c r="FI23" s="1">
        <v>283</v>
      </c>
      <c r="FJ23" s="1">
        <v>448</v>
      </c>
      <c r="FK23" s="1">
        <v>480</v>
      </c>
      <c r="FL23" s="1">
        <v>90</v>
      </c>
      <c r="FM23" s="1">
        <v>494</v>
      </c>
      <c r="FN23" s="1">
        <v>210</v>
      </c>
      <c r="FO23" s="1">
        <v>3</v>
      </c>
      <c r="FP23" s="1">
        <v>238</v>
      </c>
      <c r="FQ23" s="9">
        <v>4912</v>
      </c>
      <c r="FR23" s="1"/>
      <c r="FS23" s="1"/>
      <c r="FT23" s="1">
        <v>219</v>
      </c>
      <c r="FU23" s="1">
        <v>647</v>
      </c>
      <c r="FV23" s="1">
        <v>769</v>
      </c>
      <c r="FW23" s="1">
        <v>11</v>
      </c>
      <c r="FX23" s="1">
        <v>223</v>
      </c>
      <c r="FY23" s="1">
        <v>214</v>
      </c>
      <c r="FZ23" s="1">
        <v>314</v>
      </c>
      <c r="GA23" s="1">
        <v>152</v>
      </c>
      <c r="GB23" s="1">
        <v>261</v>
      </c>
      <c r="GC23" s="1">
        <v>401</v>
      </c>
      <c r="GD23" s="1">
        <v>405</v>
      </c>
      <c r="GE23" s="1">
        <v>87</v>
      </c>
      <c r="GF23" s="1">
        <v>533</v>
      </c>
      <c r="GG23" s="1">
        <v>212</v>
      </c>
      <c r="GH23" s="1">
        <v>1</v>
      </c>
      <c r="GI23" s="1">
        <v>280</v>
      </c>
      <c r="GJ23" s="9">
        <v>4729</v>
      </c>
      <c r="GK23" s="1"/>
      <c r="GL23" s="1"/>
      <c r="GM23" s="1">
        <v>231</v>
      </c>
      <c r="GN23" s="1">
        <v>686</v>
      </c>
      <c r="GO23" s="1">
        <v>796</v>
      </c>
      <c r="GP23" s="1">
        <v>14</v>
      </c>
      <c r="GQ23" s="1">
        <v>226</v>
      </c>
      <c r="GR23" s="1">
        <v>201</v>
      </c>
      <c r="GS23" s="1">
        <v>293</v>
      </c>
      <c r="GT23" s="1">
        <v>148</v>
      </c>
      <c r="GU23" s="1">
        <v>289</v>
      </c>
      <c r="GV23" s="1">
        <v>447</v>
      </c>
      <c r="GW23" s="1">
        <v>461</v>
      </c>
      <c r="GX23" s="1">
        <v>83</v>
      </c>
      <c r="GY23" s="1">
        <v>555</v>
      </c>
      <c r="GZ23" s="1">
        <v>246</v>
      </c>
      <c r="HA23" s="1">
        <v>1</v>
      </c>
      <c r="HB23" s="1">
        <v>284</v>
      </c>
      <c r="HC23" s="9">
        <v>4961</v>
      </c>
      <c r="HD23" s="1"/>
      <c r="HE23" s="1"/>
      <c r="HF23" s="1">
        <v>251</v>
      </c>
      <c r="HG23" s="1">
        <v>687</v>
      </c>
      <c r="HH23" s="1">
        <v>806</v>
      </c>
      <c r="HI23" s="1">
        <v>33</v>
      </c>
      <c r="HJ23" s="1">
        <v>225</v>
      </c>
      <c r="HK23" s="1">
        <v>210</v>
      </c>
      <c r="HL23" s="1">
        <v>279</v>
      </c>
      <c r="HM23" s="1">
        <v>158</v>
      </c>
      <c r="HN23" s="1">
        <v>310</v>
      </c>
      <c r="HO23" s="1">
        <v>512</v>
      </c>
      <c r="HP23" s="1">
        <v>507</v>
      </c>
      <c r="HQ23" s="1">
        <v>41</v>
      </c>
      <c r="HR23" s="1">
        <v>597</v>
      </c>
      <c r="HS23" s="1">
        <v>242</v>
      </c>
      <c r="HT23" s="1">
        <v>4</v>
      </c>
      <c r="HU23" s="1">
        <v>263</v>
      </c>
      <c r="HV23" s="9">
        <v>5125</v>
      </c>
      <c r="HW23" s="1">
        <f t="shared" si="0"/>
        <v>67350</v>
      </c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</row>
    <row r="24" spans="1:249" s="6" customFormat="1" x14ac:dyDescent="0.4">
      <c r="A24" s="6" t="s">
        <v>49</v>
      </c>
      <c r="B24" s="6" t="s">
        <v>31</v>
      </c>
      <c r="C24" s="7">
        <v>48485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9">
        <v>48485</v>
      </c>
      <c r="V24" s="7">
        <v>48505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9">
        <v>48505</v>
      </c>
      <c r="AO24" s="7">
        <v>48821</v>
      </c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9">
        <v>48821</v>
      </c>
      <c r="BH24" s="7">
        <v>48843</v>
      </c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9">
        <v>48843</v>
      </c>
      <c r="CA24" s="7">
        <v>48740</v>
      </c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9">
        <v>48740</v>
      </c>
      <c r="CT24" s="7">
        <v>48572</v>
      </c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9">
        <v>48572</v>
      </c>
      <c r="DM24" s="7">
        <v>48306</v>
      </c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9">
        <v>48306</v>
      </c>
      <c r="EF24" s="7">
        <v>48338</v>
      </c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9">
        <v>48338</v>
      </c>
      <c r="EY24" s="7">
        <v>48214</v>
      </c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9">
        <v>48214</v>
      </c>
      <c r="FR24" s="7">
        <v>47905</v>
      </c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9">
        <v>47905</v>
      </c>
      <c r="GK24" s="7">
        <v>47633</v>
      </c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9">
        <v>47633</v>
      </c>
      <c r="HD24" s="7">
        <v>47383</v>
      </c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9">
        <v>47383</v>
      </c>
      <c r="HW24" s="7">
        <f t="shared" si="0"/>
        <v>579745</v>
      </c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</row>
    <row r="25" spans="1:249" x14ac:dyDescent="0.4">
      <c r="A25" t="s">
        <v>49</v>
      </c>
      <c r="B25" t="s">
        <v>32</v>
      </c>
      <c r="C25" s="1"/>
      <c r="D25" s="1">
        <v>2215</v>
      </c>
      <c r="E25" s="1">
        <v>4548</v>
      </c>
      <c r="F25" s="1">
        <v>5748</v>
      </c>
      <c r="G25" s="1">
        <v>5060</v>
      </c>
      <c r="H25" s="1">
        <v>5259</v>
      </c>
      <c r="I25" s="1">
        <v>1850</v>
      </c>
      <c r="J25" s="1">
        <v>4345</v>
      </c>
      <c r="K25" s="1">
        <v>5350</v>
      </c>
      <c r="L25" s="1">
        <v>4811</v>
      </c>
      <c r="M25" s="1">
        <v>4346</v>
      </c>
      <c r="N25" s="1">
        <v>3844</v>
      </c>
      <c r="O25" s="1">
        <v>3516</v>
      </c>
      <c r="P25" s="1">
        <v>2262</v>
      </c>
      <c r="Q25" s="1">
        <v>3511</v>
      </c>
      <c r="R25" s="1">
        <v>2967</v>
      </c>
      <c r="S25" s="1">
        <v>1700</v>
      </c>
      <c r="T25" s="1">
        <v>2002</v>
      </c>
      <c r="U25" s="9">
        <v>63334</v>
      </c>
      <c r="V25" s="1"/>
      <c r="W25" s="1">
        <v>2205</v>
      </c>
      <c r="X25" s="1">
        <v>4572</v>
      </c>
      <c r="Y25" s="1">
        <v>5679</v>
      </c>
      <c r="Z25" s="1">
        <v>5060</v>
      </c>
      <c r="AA25" s="1">
        <v>5268</v>
      </c>
      <c r="AB25" s="1">
        <v>1872</v>
      </c>
      <c r="AC25" s="1">
        <v>4359</v>
      </c>
      <c r="AD25" s="1">
        <v>5352</v>
      </c>
      <c r="AE25" s="1">
        <v>4805</v>
      </c>
      <c r="AF25" s="1">
        <v>4352</v>
      </c>
      <c r="AG25" s="1">
        <v>3873</v>
      </c>
      <c r="AH25" s="1">
        <v>3503</v>
      </c>
      <c r="AI25" s="1">
        <v>2276</v>
      </c>
      <c r="AJ25" s="1">
        <v>3542</v>
      </c>
      <c r="AK25" s="1">
        <v>2965</v>
      </c>
      <c r="AL25" s="1">
        <v>1706</v>
      </c>
      <c r="AM25" s="1">
        <v>1976</v>
      </c>
      <c r="AN25" s="9">
        <v>63365</v>
      </c>
      <c r="AO25" s="1"/>
      <c r="AP25" s="1">
        <v>2212</v>
      </c>
      <c r="AQ25" s="1">
        <v>4556</v>
      </c>
      <c r="AR25" s="1">
        <v>5626</v>
      </c>
      <c r="AS25" s="1">
        <v>5009</v>
      </c>
      <c r="AT25" s="1">
        <v>5159</v>
      </c>
      <c r="AU25" s="1">
        <v>1861</v>
      </c>
      <c r="AV25" s="1">
        <v>4272</v>
      </c>
      <c r="AW25" s="1">
        <v>5273</v>
      </c>
      <c r="AX25" s="1">
        <v>4746</v>
      </c>
      <c r="AY25" s="1">
        <v>4359</v>
      </c>
      <c r="AZ25" s="1">
        <v>3887</v>
      </c>
      <c r="BA25" s="1">
        <v>3490</v>
      </c>
      <c r="BB25" s="1">
        <v>2280</v>
      </c>
      <c r="BC25" s="1">
        <v>3554</v>
      </c>
      <c r="BD25" s="1">
        <v>2913</v>
      </c>
      <c r="BE25" s="1">
        <v>1692</v>
      </c>
      <c r="BF25" s="1">
        <v>1803</v>
      </c>
      <c r="BG25" s="9">
        <v>62692</v>
      </c>
      <c r="BH25" s="1"/>
      <c r="BI25" s="1">
        <v>2189</v>
      </c>
      <c r="BJ25" s="1">
        <v>4462</v>
      </c>
      <c r="BK25" s="1">
        <v>5653</v>
      </c>
      <c r="BL25" s="1">
        <v>5028</v>
      </c>
      <c r="BM25" s="1">
        <v>5125</v>
      </c>
      <c r="BN25" s="1">
        <v>1865</v>
      </c>
      <c r="BO25" s="1">
        <v>4207</v>
      </c>
      <c r="BP25" s="1">
        <v>5261</v>
      </c>
      <c r="BQ25" s="1">
        <v>4705</v>
      </c>
      <c r="BR25" s="1">
        <v>4407</v>
      </c>
      <c r="BS25" s="1">
        <v>3827</v>
      </c>
      <c r="BT25" s="1">
        <v>3494</v>
      </c>
      <c r="BU25" s="1">
        <v>2286</v>
      </c>
      <c r="BV25" s="1">
        <v>3556</v>
      </c>
      <c r="BW25" s="1">
        <v>2727</v>
      </c>
      <c r="BX25" s="1">
        <v>1687</v>
      </c>
      <c r="BY25" s="1">
        <v>1788</v>
      </c>
      <c r="BZ25" s="9">
        <v>62267</v>
      </c>
      <c r="CA25" s="1"/>
      <c r="CB25" s="1">
        <v>2191</v>
      </c>
      <c r="CC25" s="1">
        <v>4417</v>
      </c>
      <c r="CD25" s="1">
        <v>5676</v>
      </c>
      <c r="CE25" s="1">
        <v>5076</v>
      </c>
      <c r="CF25" s="1">
        <v>5193</v>
      </c>
      <c r="CG25" s="1">
        <v>1868</v>
      </c>
      <c r="CH25" s="1">
        <v>4214</v>
      </c>
      <c r="CI25" s="1">
        <v>5275</v>
      </c>
      <c r="CJ25" s="1">
        <v>4670</v>
      </c>
      <c r="CK25" s="1">
        <v>4454</v>
      </c>
      <c r="CL25" s="1">
        <v>3888</v>
      </c>
      <c r="CM25" s="1">
        <v>3482</v>
      </c>
      <c r="CN25" s="1">
        <v>2287</v>
      </c>
      <c r="CO25" s="1">
        <v>3571</v>
      </c>
      <c r="CP25" s="1">
        <v>2668</v>
      </c>
      <c r="CQ25" s="1">
        <v>1681</v>
      </c>
      <c r="CR25" s="1">
        <v>1794</v>
      </c>
      <c r="CS25" s="9">
        <v>62405</v>
      </c>
      <c r="CT25" s="1"/>
      <c r="CU25" s="1">
        <v>2159</v>
      </c>
      <c r="CV25" s="1">
        <v>4480</v>
      </c>
      <c r="CW25" s="1">
        <v>5702</v>
      </c>
      <c r="CX25" s="1">
        <v>5097</v>
      </c>
      <c r="CY25" s="1">
        <v>5224</v>
      </c>
      <c r="CZ25" s="1">
        <v>1875</v>
      </c>
      <c r="DA25" s="1">
        <v>4226</v>
      </c>
      <c r="DB25" s="1">
        <v>5301</v>
      </c>
      <c r="DC25" s="1">
        <v>4681</v>
      </c>
      <c r="DD25" s="1">
        <v>4456</v>
      </c>
      <c r="DE25" s="1">
        <v>3897</v>
      </c>
      <c r="DF25" s="1">
        <v>3472</v>
      </c>
      <c r="DG25" s="1">
        <v>2281</v>
      </c>
      <c r="DH25" s="1">
        <v>3579</v>
      </c>
      <c r="DI25" s="1">
        <v>2626</v>
      </c>
      <c r="DJ25" s="1">
        <v>1683</v>
      </c>
      <c r="DK25" s="1">
        <v>1786</v>
      </c>
      <c r="DL25" s="9">
        <v>62525</v>
      </c>
      <c r="DM25" s="1"/>
      <c r="DN25" s="1">
        <v>2194</v>
      </c>
      <c r="DO25" s="1">
        <v>4490</v>
      </c>
      <c r="DP25" s="1">
        <v>5756</v>
      </c>
      <c r="DQ25" s="1">
        <v>5093</v>
      </c>
      <c r="DR25" s="1">
        <v>5274</v>
      </c>
      <c r="DS25" s="1">
        <v>1821</v>
      </c>
      <c r="DT25" s="1">
        <v>4215</v>
      </c>
      <c r="DU25" s="1">
        <v>5265</v>
      </c>
      <c r="DV25" s="1">
        <v>4696</v>
      </c>
      <c r="DW25" s="1">
        <v>4446</v>
      </c>
      <c r="DX25" s="1">
        <v>3888</v>
      </c>
      <c r="DY25" s="1">
        <v>3485</v>
      </c>
      <c r="DZ25" s="1">
        <v>2288</v>
      </c>
      <c r="EA25" s="1">
        <v>3513</v>
      </c>
      <c r="EB25" s="1">
        <v>2605</v>
      </c>
      <c r="EC25" s="1">
        <v>1682</v>
      </c>
      <c r="ED25" s="1">
        <v>1728</v>
      </c>
      <c r="EE25" s="9">
        <v>62439</v>
      </c>
      <c r="EF25" s="1"/>
      <c r="EG25" s="1">
        <v>2210</v>
      </c>
      <c r="EH25" s="1">
        <v>4499</v>
      </c>
      <c r="EI25" s="1">
        <v>5748</v>
      </c>
      <c r="EJ25" s="1">
        <v>5105</v>
      </c>
      <c r="EK25" s="1">
        <v>5281</v>
      </c>
      <c r="EL25" s="1">
        <v>1839</v>
      </c>
      <c r="EM25" s="1">
        <v>4211</v>
      </c>
      <c r="EN25" s="1">
        <v>5299</v>
      </c>
      <c r="EO25" s="1">
        <v>4679</v>
      </c>
      <c r="EP25" s="1">
        <v>4467</v>
      </c>
      <c r="EQ25" s="1">
        <v>3894</v>
      </c>
      <c r="ER25" s="1">
        <v>3492</v>
      </c>
      <c r="ES25" s="1">
        <v>2299</v>
      </c>
      <c r="ET25" s="1">
        <v>3520</v>
      </c>
      <c r="EU25" s="1">
        <v>2594</v>
      </c>
      <c r="EV25" s="1">
        <v>1685</v>
      </c>
      <c r="EW25" s="1">
        <v>1770</v>
      </c>
      <c r="EX25" s="9">
        <v>62592</v>
      </c>
      <c r="EY25" s="1"/>
      <c r="EZ25" s="1">
        <v>2213</v>
      </c>
      <c r="FA25" s="1">
        <v>4504</v>
      </c>
      <c r="FB25" s="1">
        <v>5750</v>
      </c>
      <c r="FC25" s="1">
        <v>5130</v>
      </c>
      <c r="FD25" s="1">
        <v>5325</v>
      </c>
      <c r="FE25" s="1">
        <v>1842</v>
      </c>
      <c r="FF25" s="1">
        <v>4201</v>
      </c>
      <c r="FG25" s="1">
        <v>5337</v>
      </c>
      <c r="FH25" s="1">
        <v>4669</v>
      </c>
      <c r="FI25" s="1">
        <v>4500</v>
      </c>
      <c r="FJ25" s="1">
        <v>3872</v>
      </c>
      <c r="FK25" s="1">
        <v>3540</v>
      </c>
      <c r="FL25" s="1">
        <v>2295</v>
      </c>
      <c r="FM25" s="1">
        <v>3564</v>
      </c>
      <c r="FN25" s="1">
        <v>2586</v>
      </c>
      <c r="FO25" s="1">
        <v>1681</v>
      </c>
      <c r="FP25" s="1">
        <v>1761</v>
      </c>
      <c r="FQ25" s="9">
        <v>62770</v>
      </c>
      <c r="FR25" s="1"/>
      <c r="FS25" s="1">
        <v>2271</v>
      </c>
      <c r="FT25" s="1">
        <v>4544</v>
      </c>
      <c r="FU25" s="1">
        <v>5769</v>
      </c>
      <c r="FV25" s="1">
        <v>5167</v>
      </c>
      <c r="FW25" s="1">
        <v>5329</v>
      </c>
      <c r="FX25" s="1">
        <v>1863</v>
      </c>
      <c r="FY25" s="1">
        <v>4182</v>
      </c>
      <c r="FZ25" s="1">
        <v>5376</v>
      </c>
      <c r="GA25" s="1">
        <v>4614</v>
      </c>
      <c r="GB25" s="1">
        <v>4594</v>
      </c>
      <c r="GC25" s="1">
        <v>3928</v>
      </c>
      <c r="GD25" s="1">
        <v>3615</v>
      </c>
      <c r="GE25" s="1">
        <v>2298</v>
      </c>
      <c r="GF25" s="1">
        <v>3581</v>
      </c>
      <c r="GG25" s="1">
        <v>2605</v>
      </c>
      <c r="GH25" s="1">
        <v>1700</v>
      </c>
      <c r="GI25" s="1">
        <v>1759</v>
      </c>
      <c r="GJ25" s="9">
        <v>63195</v>
      </c>
      <c r="GK25" s="1"/>
      <c r="GL25" s="1">
        <v>2274</v>
      </c>
      <c r="GM25" s="1">
        <v>4574</v>
      </c>
      <c r="GN25" s="1">
        <v>5786</v>
      </c>
      <c r="GO25" s="1">
        <v>5218</v>
      </c>
      <c r="GP25" s="1">
        <v>5340</v>
      </c>
      <c r="GQ25" s="1">
        <v>1870</v>
      </c>
      <c r="GR25" s="1">
        <v>4241</v>
      </c>
      <c r="GS25" s="1">
        <v>5376</v>
      </c>
      <c r="GT25" s="1">
        <v>4618</v>
      </c>
      <c r="GU25" s="1">
        <v>4633</v>
      </c>
      <c r="GV25" s="1">
        <v>3986</v>
      </c>
      <c r="GW25" s="1">
        <v>3666</v>
      </c>
      <c r="GX25" s="1">
        <v>2314</v>
      </c>
      <c r="GY25" s="1">
        <v>3615</v>
      </c>
      <c r="GZ25" s="1">
        <v>2619</v>
      </c>
      <c r="HA25" s="1">
        <v>1728</v>
      </c>
      <c r="HB25" s="1">
        <v>1818</v>
      </c>
      <c r="HC25" s="9">
        <v>63676</v>
      </c>
      <c r="HD25" s="1"/>
      <c r="HE25" s="1">
        <v>2274</v>
      </c>
      <c r="HF25" s="1">
        <v>4577</v>
      </c>
      <c r="HG25" s="1">
        <v>5793</v>
      </c>
      <c r="HH25" s="1">
        <v>5233</v>
      </c>
      <c r="HI25" s="1">
        <v>5369</v>
      </c>
      <c r="HJ25" s="1">
        <v>1831</v>
      </c>
      <c r="HK25" s="1">
        <v>4252</v>
      </c>
      <c r="HL25" s="1">
        <v>5399</v>
      </c>
      <c r="HM25" s="1">
        <v>4625</v>
      </c>
      <c r="HN25" s="1">
        <v>4639</v>
      </c>
      <c r="HO25" s="1">
        <v>4021</v>
      </c>
      <c r="HP25" s="1">
        <v>3643</v>
      </c>
      <c r="HQ25" s="1">
        <v>2311</v>
      </c>
      <c r="HR25" s="1">
        <v>3617</v>
      </c>
      <c r="HS25" s="1">
        <v>2600</v>
      </c>
      <c r="HT25" s="1">
        <v>1728</v>
      </c>
      <c r="HU25" s="1">
        <v>1895</v>
      </c>
      <c r="HV25" s="9">
        <v>63807</v>
      </c>
      <c r="HW25" s="1">
        <f t="shared" si="0"/>
        <v>755067</v>
      </c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</row>
    <row r="26" spans="1:249" x14ac:dyDescent="0.4">
      <c r="A26" t="s">
        <v>49</v>
      </c>
      <c r="B26" t="s">
        <v>50</v>
      </c>
      <c r="C26" s="1"/>
      <c r="D26" s="1"/>
      <c r="E26" s="1">
        <v>4434</v>
      </c>
      <c r="F26" s="1">
        <v>9355</v>
      </c>
      <c r="G26" s="1">
        <v>8814</v>
      </c>
      <c r="H26" s="1">
        <v>638</v>
      </c>
      <c r="I26" s="1">
        <v>4892</v>
      </c>
      <c r="J26" s="1">
        <v>5931</v>
      </c>
      <c r="K26" s="1">
        <v>6963</v>
      </c>
      <c r="L26" s="1">
        <v>5465</v>
      </c>
      <c r="M26" s="1">
        <v>8047</v>
      </c>
      <c r="N26" s="1">
        <v>4927</v>
      </c>
      <c r="O26" s="1">
        <v>9209</v>
      </c>
      <c r="P26" s="1">
        <v>2583</v>
      </c>
      <c r="Q26" s="1">
        <v>10198</v>
      </c>
      <c r="R26" s="1">
        <v>2117</v>
      </c>
      <c r="S26" s="1">
        <v>727</v>
      </c>
      <c r="T26" s="1">
        <v>4912</v>
      </c>
      <c r="U26" s="9">
        <v>89212</v>
      </c>
      <c r="V26" s="1"/>
      <c r="W26" s="1"/>
      <c r="X26" s="1">
        <v>4441</v>
      </c>
      <c r="Y26" s="1">
        <v>9338</v>
      </c>
      <c r="Z26" s="1">
        <v>8910</v>
      </c>
      <c r="AA26" s="1">
        <v>638</v>
      </c>
      <c r="AB26" s="1">
        <v>4896</v>
      </c>
      <c r="AC26" s="1">
        <v>5921</v>
      </c>
      <c r="AD26" s="1">
        <v>6991</v>
      </c>
      <c r="AE26" s="1">
        <v>5477</v>
      </c>
      <c r="AF26" s="1">
        <v>8062</v>
      </c>
      <c r="AG26" s="1">
        <v>4901</v>
      </c>
      <c r="AH26" s="1">
        <v>9249</v>
      </c>
      <c r="AI26" s="1">
        <v>2597</v>
      </c>
      <c r="AJ26" s="1">
        <v>10216</v>
      </c>
      <c r="AK26" s="1">
        <v>2117</v>
      </c>
      <c r="AL26" s="1">
        <v>724</v>
      </c>
      <c r="AM26" s="1">
        <v>4947</v>
      </c>
      <c r="AN26" s="9">
        <v>89425</v>
      </c>
      <c r="AO26" s="1"/>
      <c r="AP26" s="1">
        <v>4</v>
      </c>
      <c r="AQ26" s="1">
        <v>4431</v>
      </c>
      <c r="AR26" s="1">
        <v>9393</v>
      </c>
      <c r="AS26" s="1">
        <v>8926</v>
      </c>
      <c r="AT26" s="1">
        <v>673</v>
      </c>
      <c r="AU26" s="1">
        <v>4900</v>
      </c>
      <c r="AV26" s="1">
        <v>5909</v>
      </c>
      <c r="AW26" s="1">
        <v>7015</v>
      </c>
      <c r="AX26" s="1">
        <v>5487</v>
      </c>
      <c r="AY26" s="1">
        <v>8031</v>
      </c>
      <c r="AZ26" s="1">
        <v>4888</v>
      </c>
      <c r="BA26" s="1">
        <v>9292</v>
      </c>
      <c r="BB26" s="1">
        <v>2598</v>
      </c>
      <c r="BC26" s="1">
        <v>10268</v>
      </c>
      <c r="BD26" s="1">
        <v>2155</v>
      </c>
      <c r="BE26" s="1">
        <v>716</v>
      </c>
      <c r="BF26" s="1">
        <v>4958</v>
      </c>
      <c r="BG26" s="9">
        <v>89644</v>
      </c>
      <c r="BH26" s="1"/>
      <c r="BI26" s="1">
        <v>4</v>
      </c>
      <c r="BJ26" s="1">
        <v>4471</v>
      </c>
      <c r="BK26" s="1">
        <v>9424</v>
      </c>
      <c r="BL26" s="1">
        <v>9033</v>
      </c>
      <c r="BM26" s="1">
        <v>673</v>
      </c>
      <c r="BN26" s="1">
        <v>4893</v>
      </c>
      <c r="BO26" s="1">
        <v>5950</v>
      </c>
      <c r="BP26" s="1">
        <v>7089</v>
      </c>
      <c r="BQ26" s="1">
        <v>5532</v>
      </c>
      <c r="BR26" s="1">
        <v>8078</v>
      </c>
      <c r="BS26" s="1">
        <v>4963</v>
      </c>
      <c r="BT26" s="1">
        <v>9329</v>
      </c>
      <c r="BU26" s="1">
        <v>2615</v>
      </c>
      <c r="BV26" s="1">
        <v>10386</v>
      </c>
      <c r="BW26" s="1">
        <v>2290</v>
      </c>
      <c r="BX26" s="1">
        <v>718</v>
      </c>
      <c r="BY26" s="1">
        <v>4999</v>
      </c>
      <c r="BZ26" s="9">
        <v>90447</v>
      </c>
      <c r="CA26" s="1"/>
      <c r="CB26" s="1">
        <v>4</v>
      </c>
      <c r="CC26" s="1">
        <v>4510</v>
      </c>
      <c r="CD26" s="1">
        <v>9421</v>
      </c>
      <c r="CE26" s="1">
        <v>9023</v>
      </c>
      <c r="CF26" s="1">
        <v>673</v>
      </c>
      <c r="CG26" s="1">
        <v>4922</v>
      </c>
      <c r="CH26" s="1">
        <v>5935</v>
      </c>
      <c r="CI26" s="1">
        <v>7139</v>
      </c>
      <c r="CJ26" s="1">
        <v>5551</v>
      </c>
      <c r="CK26" s="1">
        <v>8108</v>
      </c>
      <c r="CL26" s="1">
        <v>5036</v>
      </c>
      <c r="CM26" s="1">
        <v>9283</v>
      </c>
      <c r="CN26" s="1">
        <v>2628</v>
      </c>
      <c r="CO26" s="1">
        <v>10500</v>
      </c>
      <c r="CP26" s="1">
        <v>2287</v>
      </c>
      <c r="CQ26" s="1">
        <v>717</v>
      </c>
      <c r="CR26" s="1">
        <v>4975</v>
      </c>
      <c r="CS26" s="9">
        <v>90712</v>
      </c>
      <c r="CT26" s="1"/>
      <c r="CU26" s="1">
        <v>4</v>
      </c>
      <c r="CV26" s="1">
        <v>4517</v>
      </c>
      <c r="CW26" s="1">
        <v>9516</v>
      </c>
      <c r="CX26" s="1">
        <v>9098</v>
      </c>
      <c r="CY26" s="1">
        <v>679</v>
      </c>
      <c r="CZ26" s="1">
        <v>4924</v>
      </c>
      <c r="DA26" s="1">
        <v>5934</v>
      </c>
      <c r="DB26" s="1">
        <v>7194</v>
      </c>
      <c r="DC26" s="1">
        <v>5567</v>
      </c>
      <c r="DD26" s="1">
        <v>8088</v>
      </c>
      <c r="DE26" s="1">
        <v>4998</v>
      </c>
      <c r="DF26" s="1">
        <v>9390</v>
      </c>
      <c r="DG26" s="1">
        <v>2631</v>
      </c>
      <c r="DH26" s="1">
        <v>10492</v>
      </c>
      <c r="DI26" s="1">
        <v>2308</v>
      </c>
      <c r="DJ26" s="1">
        <v>715</v>
      </c>
      <c r="DK26" s="1">
        <v>4992</v>
      </c>
      <c r="DL26" s="9">
        <v>91047</v>
      </c>
      <c r="DM26" s="1"/>
      <c r="DN26" s="1">
        <v>10</v>
      </c>
      <c r="DO26" s="1">
        <v>4539</v>
      </c>
      <c r="DP26" s="1">
        <v>9515</v>
      </c>
      <c r="DQ26" s="1">
        <v>9147</v>
      </c>
      <c r="DR26" s="1">
        <v>677</v>
      </c>
      <c r="DS26" s="1">
        <v>5175</v>
      </c>
      <c r="DT26" s="1">
        <v>5930</v>
      </c>
      <c r="DU26" s="1">
        <v>7234</v>
      </c>
      <c r="DV26" s="1">
        <v>5584</v>
      </c>
      <c r="DW26" s="1">
        <v>8044</v>
      </c>
      <c r="DX26" s="1">
        <v>4955</v>
      </c>
      <c r="DY26" s="1">
        <v>9476</v>
      </c>
      <c r="DZ26" s="1">
        <v>2637</v>
      </c>
      <c r="EA26" s="1">
        <v>10594</v>
      </c>
      <c r="EB26" s="1">
        <v>2332</v>
      </c>
      <c r="EC26" s="1">
        <v>718</v>
      </c>
      <c r="ED26" s="1">
        <v>5017</v>
      </c>
      <c r="EE26" s="9">
        <v>91584</v>
      </c>
      <c r="EF26" s="1"/>
      <c r="EG26" s="1">
        <v>10</v>
      </c>
      <c r="EH26" s="1">
        <v>4545</v>
      </c>
      <c r="EI26" s="1">
        <v>9541</v>
      </c>
      <c r="EJ26" s="1">
        <v>9024</v>
      </c>
      <c r="EK26" s="1">
        <v>676</v>
      </c>
      <c r="EL26" s="1">
        <v>5165</v>
      </c>
      <c r="EM26" s="1">
        <v>5903</v>
      </c>
      <c r="EN26" s="1">
        <v>7201</v>
      </c>
      <c r="EO26" s="1">
        <v>5608</v>
      </c>
      <c r="EP26" s="1">
        <v>8016</v>
      </c>
      <c r="EQ26" s="1">
        <v>4989</v>
      </c>
      <c r="ER26" s="1">
        <v>9502</v>
      </c>
      <c r="ES26" s="1">
        <v>2629</v>
      </c>
      <c r="ET26" s="1">
        <v>10664</v>
      </c>
      <c r="EU26" s="1">
        <v>2324</v>
      </c>
      <c r="EV26" s="1">
        <v>719</v>
      </c>
      <c r="EW26" s="1">
        <v>5004</v>
      </c>
      <c r="EX26" s="9">
        <v>91520</v>
      </c>
      <c r="EY26" s="1"/>
      <c r="EZ26" s="1">
        <v>10</v>
      </c>
      <c r="FA26" s="1">
        <v>4556</v>
      </c>
      <c r="FB26" s="1">
        <v>9595</v>
      </c>
      <c r="FC26" s="1">
        <v>8991</v>
      </c>
      <c r="FD26" s="1">
        <v>681</v>
      </c>
      <c r="FE26" s="1">
        <v>5188</v>
      </c>
      <c r="FF26" s="1">
        <v>5883</v>
      </c>
      <c r="FG26" s="1">
        <v>7185</v>
      </c>
      <c r="FH26" s="1">
        <v>5655</v>
      </c>
      <c r="FI26" s="1">
        <v>8010</v>
      </c>
      <c r="FJ26" s="1">
        <v>5015</v>
      </c>
      <c r="FK26" s="1">
        <v>9415</v>
      </c>
      <c r="FL26" s="1">
        <v>2638</v>
      </c>
      <c r="FM26" s="1">
        <v>10731</v>
      </c>
      <c r="FN26" s="1">
        <v>2317</v>
      </c>
      <c r="FO26" s="1">
        <v>711</v>
      </c>
      <c r="FP26" s="1">
        <v>5031</v>
      </c>
      <c r="FQ26" s="9">
        <v>91612</v>
      </c>
      <c r="FR26" s="1"/>
      <c r="FS26" s="1">
        <v>10</v>
      </c>
      <c r="FT26" s="1">
        <v>4562</v>
      </c>
      <c r="FU26" s="1">
        <v>9548</v>
      </c>
      <c r="FV26" s="1">
        <v>8927</v>
      </c>
      <c r="FW26" s="1">
        <v>677</v>
      </c>
      <c r="FX26" s="1">
        <v>5201</v>
      </c>
      <c r="FY26" s="1">
        <v>5848</v>
      </c>
      <c r="FZ26" s="1">
        <v>7179</v>
      </c>
      <c r="GA26" s="1">
        <v>5678</v>
      </c>
      <c r="GB26" s="1">
        <v>7998</v>
      </c>
      <c r="GC26" s="1">
        <v>4961</v>
      </c>
      <c r="GD26" s="1">
        <v>9341</v>
      </c>
      <c r="GE26" s="1">
        <v>2628</v>
      </c>
      <c r="GF26" s="1">
        <v>10832</v>
      </c>
      <c r="GG26" s="1">
        <v>2322</v>
      </c>
      <c r="GH26" s="1">
        <v>715</v>
      </c>
      <c r="GI26" s="1">
        <v>5082</v>
      </c>
      <c r="GJ26" s="9">
        <v>91509</v>
      </c>
      <c r="GK26" s="1"/>
      <c r="GL26" s="1">
        <v>21</v>
      </c>
      <c r="GM26" s="1">
        <v>4567</v>
      </c>
      <c r="GN26" s="1">
        <v>9573</v>
      </c>
      <c r="GO26" s="1">
        <v>8879</v>
      </c>
      <c r="GP26" s="1">
        <v>673</v>
      </c>
      <c r="GQ26" s="1">
        <v>5176</v>
      </c>
      <c r="GR26" s="1">
        <v>5842</v>
      </c>
      <c r="GS26" s="1">
        <v>7230</v>
      </c>
      <c r="GT26" s="1">
        <v>5708</v>
      </c>
      <c r="GU26" s="1">
        <v>8026</v>
      </c>
      <c r="GV26" s="1">
        <v>5003</v>
      </c>
      <c r="GW26" s="1">
        <v>9300</v>
      </c>
      <c r="GX26" s="1">
        <v>2629</v>
      </c>
      <c r="GY26" s="1">
        <v>10855</v>
      </c>
      <c r="GZ26" s="1">
        <v>2331</v>
      </c>
      <c r="HA26" s="1">
        <v>709</v>
      </c>
      <c r="HB26" s="1">
        <v>5090</v>
      </c>
      <c r="HC26" s="9">
        <v>91612</v>
      </c>
      <c r="HD26" s="1"/>
      <c r="HE26" s="1">
        <v>21</v>
      </c>
      <c r="HF26" s="1">
        <v>4588</v>
      </c>
      <c r="HG26" s="1">
        <v>9597</v>
      </c>
      <c r="HH26" s="1">
        <v>8975</v>
      </c>
      <c r="HI26" s="1">
        <v>692</v>
      </c>
      <c r="HJ26" s="1">
        <v>5199</v>
      </c>
      <c r="HK26" s="1">
        <v>5839</v>
      </c>
      <c r="HL26" s="1">
        <v>7232</v>
      </c>
      <c r="HM26" s="1">
        <v>5728</v>
      </c>
      <c r="HN26" s="1">
        <v>8069</v>
      </c>
      <c r="HO26" s="1">
        <v>5050</v>
      </c>
      <c r="HP26" s="1">
        <v>9451</v>
      </c>
      <c r="HQ26" s="1">
        <v>2597</v>
      </c>
      <c r="HR26" s="1">
        <v>10902</v>
      </c>
      <c r="HS26" s="1">
        <v>2354</v>
      </c>
      <c r="HT26" s="1">
        <v>713</v>
      </c>
      <c r="HU26" s="1">
        <v>5089</v>
      </c>
      <c r="HV26" s="9">
        <v>92096</v>
      </c>
      <c r="HW26" s="1">
        <f t="shared" si="0"/>
        <v>1090420</v>
      </c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</row>
    <row r="27" spans="1:249" s="6" customFormat="1" x14ac:dyDescent="0.4">
      <c r="A27" s="6" t="s">
        <v>43</v>
      </c>
      <c r="B27" s="6" t="s">
        <v>33</v>
      </c>
      <c r="C27" s="7"/>
      <c r="D27" s="7">
        <v>2</v>
      </c>
      <c r="E27" s="7">
        <v>108</v>
      </c>
      <c r="F27" s="7">
        <v>123</v>
      </c>
      <c r="G27" s="7">
        <v>122</v>
      </c>
      <c r="H27" s="7">
        <v>66</v>
      </c>
      <c r="I27" s="7">
        <v>14</v>
      </c>
      <c r="J27" s="7">
        <v>219</v>
      </c>
      <c r="K27" s="7">
        <v>67</v>
      </c>
      <c r="L27" s="7">
        <v>49</v>
      </c>
      <c r="M27" s="7">
        <v>87</v>
      </c>
      <c r="N27" s="7">
        <v>88</v>
      </c>
      <c r="O27" s="7">
        <v>55</v>
      </c>
      <c r="P27" s="7">
        <v>41</v>
      </c>
      <c r="Q27" s="7">
        <v>156</v>
      </c>
      <c r="R27" s="7">
        <v>17</v>
      </c>
      <c r="S27" s="7">
        <v>77</v>
      </c>
      <c r="T27" s="7">
        <v>33</v>
      </c>
      <c r="U27" s="9">
        <v>1324</v>
      </c>
      <c r="V27" s="7"/>
      <c r="W27" s="7">
        <v>2</v>
      </c>
      <c r="X27" s="7">
        <v>32</v>
      </c>
      <c r="Y27" s="7">
        <v>66</v>
      </c>
      <c r="Z27" s="7">
        <v>36</v>
      </c>
      <c r="AA27" s="7">
        <v>61</v>
      </c>
      <c r="AB27" s="7">
        <v>23</v>
      </c>
      <c r="AC27" s="7">
        <v>28</v>
      </c>
      <c r="AD27" s="7">
        <v>48</v>
      </c>
      <c r="AE27" s="7">
        <v>23</v>
      </c>
      <c r="AF27" s="7">
        <v>34</v>
      </c>
      <c r="AG27" s="7">
        <v>50</v>
      </c>
      <c r="AH27" s="7">
        <v>44</v>
      </c>
      <c r="AI27" s="7">
        <v>31</v>
      </c>
      <c r="AJ27" s="7">
        <v>33</v>
      </c>
      <c r="AK27" s="7">
        <v>8</v>
      </c>
      <c r="AL27" s="7">
        <v>30</v>
      </c>
      <c r="AM27" s="7">
        <v>11</v>
      </c>
      <c r="AN27" s="9">
        <v>560</v>
      </c>
      <c r="AO27" s="7"/>
      <c r="AP27" s="7">
        <v>6</v>
      </c>
      <c r="AQ27" s="7">
        <v>83</v>
      </c>
      <c r="AR27" s="7">
        <v>88</v>
      </c>
      <c r="AS27" s="7">
        <v>95</v>
      </c>
      <c r="AT27" s="7">
        <v>35</v>
      </c>
      <c r="AU27" s="7">
        <v>46</v>
      </c>
      <c r="AV27" s="7">
        <v>73</v>
      </c>
      <c r="AW27" s="7">
        <v>67</v>
      </c>
      <c r="AX27" s="7">
        <v>27</v>
      </c>
      <c r="AY27" s="7">
        <v>52</v>
      </c>
      <c r="AZ27" s="7">
        <v>49</v>
      </c>
      <c r="BA27" s="7">
        <v>20</v>
      </c>
      <c r="BB27" s="7">
        <v>32</v>
      </c>
      <c r="BC27" s="7">
        <v>100</v>
      </c>
      <c r="BD27" s="7">
        <v>7</v>
      </c>
      <c r="BE27" s="7">
        <v>39</v>
      </c>
      <c r="BF27" s="7">
        <v>31</v>
      </c>
      <c r="BG27" s="9">
        <v>850</v>
      </c>
      <c r="BH27" s="7"/>
      <c r="BI27" s="7">
        <v>12</v>
      </c>
      <c r="BJ27" s="7">
        <v>44</v>
      </c>
      <c r="BK27" s="7">
        <v>103</v>
      </c>
      <c r="BL27" s="7">
        <v>41</v>
      </c>
      <c r="BM27" s="7">
        <v>31</v>
      </c>
      <c r="BN27" s="7">
        <v>14</v>
      </c>
      <c r="BO27" s="7">
        <v>40</v>
      </c>
      <c r="BP27" s="7">
        <v>49</v>
      </c>
      <c r="BQ27" s="7">
        <v>67</v>
      </c>
      <c r="BR27" s="7">
        <v>41</v>
      </c>
      <c r="BS27" s="7">
        <v>53</v>
      </c>
      <c r="BT27" s="7">
        <v>13</v>
      </c>
      <c r="BU27" s="7">
        <v>13</v>
      </c>
      <c r="BV27" s="7">
        <v>31</v>
      </c>
      <c r="BW27" s="7">
        <v>12</v>
      </c>
      <c r="BX27" s="7">
        <v>41</v>
      </c>
      <c r="BY27" s="7">
        <v>6</v>
      </c>
      <c r="BZ27" s="9">
        <v>611</v>
      </c>
      <c r="CA27" s="7"/>
      <c r="CB27" s="7">
        <v>4</v>
      </c>
      <c r="CC27" s="7">
        <v>48</v>
      </c>
      <c r="CD27" s="7">
        <v>60</v>
      </c>
      <c r="CE27" s="7">
        <v>27</v>
      </c>
      <c r="CF27" s="7">
        <v>37</v>
      </c>
      <c r="CG27" s="7">
        <v>8</v>
      </c>
      <c r="CH27" s="7">
        <v>28</v>
      </c>
      <c r="CI27" s="7">
        <v>75</v>
      </c>
      <c r="CJ27" s="7">
        <v>22</v>
      </c>
      <c r="CK27" s="7">
        <v>31</v>
      </c>
      <c r="CL27" s="7">
        <v>33</v>
      </c>
      <c r="CM27" s="7">
        <v>16</v>
      </c>
      <c r="CN27" s="7">
        <v>7</v>
      </c>
      <c r="CO27" s="7">
        <v>52</v>
      </c>
      <c r="CP27" s="7">
        <v>14</v>
      </c>
      <c r="CQ27" s="7">
        <v>45</v>
      </c>
      <c r="CR27" s="7">
        <v>16</v>
      </c>
      <c r="CS27" s="9">
        <v>523</v>
      </c>
      <c r="CT27" s="7"/>
      <c r="CU27" s="7">
        <v>8</v>
      </c>
      <c r="CV27" s="7">
        <v>77</v>
      </c>
      <c r="CW27" s="7">
        <v>53</v>
      </c>
      <c r="CX27" s="7">
        <v>48</v>
      </c>
      <c r="CY27" s="7">
        <v>27</v>
      </c>
      <c r="CZ27" s="7">
        <v>8</v>
      </c>
      <c r="DA27" s="7">
        <v>63</v>
      </c>
      <c r="DB27" s="7">
        <v>37</v>
      </c>
      <c r="DC27" s="7">
        <v>50</v>
      </c>
      <c r="DD27" s="7">
        <v>94</v>
      </c>
      <c r="DE27" s="7">
        <v>10</v>
      </c>
      <c r="DF27" s="7">
        <v>37</v>
      </c>
      <c r="DG27" s="7">
        <v>10</v>
      </c>
      <c r="DH27" s="7">
        <v>40</v>
      </c>
      <c r="DI27" s="7">
        <v>8</v>
      </c>
      <c r="DJ27" s="7">
        <v>19</v>
      </c>
      <c r="DK27" s="7">
        <v>2</v>
      </c>
      <c r="DL27" s="9">
        <v>591</v>
      </c>
      <c r="DM27" s="7"/>
      <c r="DN27" s="7"/>
      <c r="DO27" s="7">
        <v>68</v>
      </c>
      <c r="DP27" s="7">
        <v>47</v>
      </c>
      <c r="DQ27" s="7">
        <v>49</v>
      </c>
      <c r="DR27" s="7">
        <v>45</v>
      </c>
      <c r="DS27" s="7">
        <v>10</v>
      </c>
      <c r="DT27" s="7">
        <v>30</v>
      </c>
      <c r="DU27" s="7">
        <v>81</v>
      </c>
      <c r="DV27" s="7">
        <v>33</v>
      </c>
      <c r="DW27" s="7">
        <v>42</v>
      </c>
      <c r="DX27" s="7">
        <v>11</v>
      </c>
      <c r="DY27" s="7">
        <v>17</v>
      </c>
      <c r="DZ27" s="7">
        <v>21</v>
      </c>
      <c r="EA27" s="7">
        <v>119</v>
      </c>
      <c r="EB27" s="7">
        <v>23</v>
      </c>
      <c r="EC27" s="7">
        <v>22</v>
      </c>
      <c r="ED27" s="7">
        <v>3</v>
      </c>
      <c r="EE27" s="9">
        <v>621</v>
      </c>
      <c r="EF27" s="7"/>
      <c r="EG27" s="7"/>
      <c r="EH27" s="7">
        <v>37</v>
      </c>
      <c r="EI27" s="7">
        <v>72</v>
      </c>
      <c r="EJ27" s="7">
        <v>66</v>
      </c>
      <c r="EK27" s="7">
        <v>38</v>
      </c>
      <c r="EL27" s="7">
        <v>7</v>
      </c>
      <c r="EM27" s="7">
        <v>51</v>
      </c>
      <c r="EN27" s="7">
        <v>90</v>
      </c>
      <c r="EO27" s="7">
        <v>8</v>
      </c>
      <c r="EP27" s="7">
        <v>36</v>
      </c>
      <c r="EQ27" s="7">
        <v>23</v>
      </c>
      <c r="ER27" s="7">
        <v>5</v>
      </c>
      <c r="ES27" s="7">
        <v>28</v>
      </c>
      <c r="ET27" s="7">
        <v>104</v>
      </c>
      <c r="EU27" s="7">
        <v>16</v>
      </c>
      <c r="EV27" s="7">
        <v>44</v>
      </c>
      <c r="EW27" s="7">
        <v>2</v>
      </c>
      <c r="EX27" s="9">
        <v>627</v>
      </c>
      <c r="EY27" s="7"/>
      <c r="EZ27" s="7">
        <v>10</v>
      </c>
      <c r="FA27" s="7">
        <v>41</v>
      </c>
      <c r="FB27" s="7">
        <v>70</v>
      </c>
      <c r="FC27" s="7">
        <v>69</v>
      </c>
      <c r="FD27" s="7">
        <v>31</v>
      </c>
      <c r="FE27" s="7">
        <v>28</v>
      </c>
      <c r="FF27" s="7">
        <v>31</v>
      </c>
      <c r="FG27" s="7">
        <v>54</v>
      </c>
      <c r="FH27" s="7">
        <v>20</v>
      </c>
      <c r="FI27" s="7">
        <v>61</v>
      </c>
      <c r="FJ27" s="7">
        <v>23</v>
      </c>
      <c r="FK27" s="7">
        <v>12</v>
      </c>
      <c r="FL27" s="7">
        <v>18</v>
      </c>
      <c r="FM27" s="7">
        <v>36</v>
      </c>
      <c r="FN27" s="7">
        <v>12</v>
      </c>
      <c r="FO27" s="7">
        <v>31</v>
      </c>
      <c r="FP27" s="7">
        <v>2</v>
      </c>
      <c r="FQ27" s="9">
        <v>549</v>
      </c>
      <c r="FR27" s="7"/>
      <c r="FS27" s="7"/>
      <c r="FT27" s="7">
        <v>67</v>
      </c>
      <c r="FU27" s="7">
        <v>45</v>
      </c>
      <c r="FV27" s="7">
        <v>62</v>
      </c>
      <c r="FW27" s="7">
        <v>33</v>
      </c>
      <c r="FX27" s="7">
        <v>11</v>
      </c>
      <c r="FY27" s="7">
        <v>48</v>
      </c>
      <c r="FZ27" s="7">
        <v>46</v>
      </c>
      <c r="GA27" s="7">
        <v>46</v>
      </c>
      <c r="GB27" s="7">
        <v>137</v>
      </c>
      <c r="GC27" s="7">
        <v>36</v>
      </c>
      <c r="GD27" s="7">
        <v>10</v>
      </c>
      <c r="GE27" s="7">
        <v>21</v>
      </c>
      <c r="GF27" s="7">
        <v>98</v>
      </c>
      <c r="GG27" s="7">
        <v>7</v>
      </c>
      <c r="GH27" s="7">
        <v>27</v>
      </c>
      <c r="GI27" s="7"/>
      <c r="GJ27" s="9">
        <v>694</v>
      </c>
      <c r="GK27" s="7"/>
      <c r="GL27" s="7">
        <v>22</v>
      </c>
      <c r="GM27" s="7">
        <v>72</v>
      </c>
      <c r="GN27" s="7">
        <v>51</v>
      </c>
      <c r="GO27" s="7">
        <v>63</v>
      </c>
      <c r="GP27" s="7">
        <v>18</v>
      </c>
      <c r="GQ27" s="7">
        <v>31</v>
      </c>
      <c r="GR27" s="7">
        <v>36</v>
      </c>
      <c r="GS27" s="7">
        <v>74</v>
      </c>
      <c r="GT27" s="7">
        <v>11</v>
      </c>
      <c r="GU27" s="7">
        <v>63</v>
      </c>
      <c r="GV27" s="7">
        <v>45</v>
      </c>
      <c r="GW27" s="7">
        <v>27</v>
      </c>
      <c r="GX27" s="7">
        <v>24</v>
      </c>
      <c r="GY27" s="7">
        <v>79</v>
      </c>
      <c r="GZ27" s="7">
        <v>7</v>
      </c>
      <c r="HA27" s="7">
        <v>17</v>
      </c>
      <c r="HB27" s="7">
        <v>38</v>
      </c>
      <c r="HC27" s="9">
        <v>678</v>
      </c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9">
        <v>508</v>
      </c>
      <c r="HW27" s="7">
        <f t="shared" si="0"/>
        <v>8136</v>
      </c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</row>
    <row r="28" spans="1:249" x14ac:dyDescent="0.4">
      <c r="A28" t="s">
        <v>43</v>
      </c>
      <c r="B28" t="s">
        <v>35</v>
      </c>
      <c r="C28" s="1"/>
      <c r="D28" s="1">
        <v>788</v>
      </c>
      <c r="E28" s="1">
        <v>392</v>
      </c>
      <c r="F28" s="1">
        <v>376</v>
      </c>
      <c r="G28" s="1">
        <v>430</v>
      </c>
      <c r="H28" s="1">
        <v>491</v>
      </c>
      <c r="I28" s="1">
        <v>146</v>
      </c>
      <c r="J28" s="1">
        <v>256</v>
      </c>
      <c r="K28" s="1">
        <v>362</v>
      </c>
      <c r="L28" s="1">
        <v>423</v>
      </c>
      <c r="M28" s="1">
        <v>251</v>
      </c>
      <c r="N28" s="1">
        <v>585</v>
      </c>
      <c r="O28" s="1">
        <v>183</v>
      </c>
      <c r="P28" s="1">
        <v>174</v>
      </c>
      <c r="Q28" s="1">
        <v>235</v>
      </c>
      <c r="R28" s="1">
        <v>175</v>
      </c>
      <c r="S28" s="1">
        <v>107</v>
      </c>
      <c r="T28" s="1">
        <v>65</v>
      </c>
      <c r="U28" s="9">
        <v>5439</v>
      </c>
      <c r="V28" s="1"/>
      <c r="W28" s="1">
        <v>142</v>
      </c>
      <c r="X28" s="1">
        <v>170</v>
      </c>
      <c r="Y28" s="1">
        <v>122</v>
      </c>
      <c r="Z28" s="1">
        <v>311</v>
      </c>
      <c r="AA28" s="1">
        <v>108</v>
      </c>
      <c r="AB28" s="1">
        <v>34</v>
      </c>
      <c r="AC28" s="1">
        <v>63</v>
      </c>
      <c r="AD28" s="1">
        <v>79</v>
      </c>
      <c r="AE28" s="1">
        <v>149</v>
      </c>
      <c r="AF28" s="1">
        <v>160</v>
      </c>
      <c r="AG28" s="1">
        <v>97</v>
      </c>
      <c r="AH28" s="1">
        <v>49</v>
      </c>
      <c r="AI28" s="1">
        <v>55</v>
      </c>
      <c r="AJ28" s="1">
        <v>26</v>
      </c>
      <c r="AK28" s="1">
        <v>139</v>
      </c>
      <c r="AL28" s="1">
        <v>54</v>
      </c>
      <c r="AM28" s="1">
        <v>70</v>
      </c>
      <c r="AN28" s="9">
        <v>1828</v>
      </c>
      <c r="AO28" s="1"/>
      <c r="AP28" s="1">
        <v>116</v>
      </c>
      <c r="AQ28" s="1">
        <v>92</v>
      </c>
      <c r="AR28" s="1">
        <v>187</v>
      </c>
      <c r="AS28" s="1">
        <v>154</v>
      </c>
      <c r="AT28" s="1">
        <v>329</v>
      </c>
      <c r="AU28" s="1">
        <v>47</v>
      </c>
      <c r="AV28" s="1">
        <v>133</v>
      </c>
      <c r="AW28" s="1">
        <v>229</v>
      </c>
      <c r="AX28" s="1">
        <v>152</v>
      </c>
      <c r="AY28" s="1">
        <v>144</v>
      </c>
      <c r="AZ28" s="1">
        <v>198</v>
      </c>
      <c r="BA28" s="1">
        <v>136</v>
      </c>
      <c r="BB28" s="1">
        <v>63</v>
      </c>
      <c r="BC28" s="1">
        <v>91</v>
      </c>
      <c r="BD28" s="1">
        <v>125</v>
      </c>
      <c r="BE28" s="1">
        <v>39</v>
      </c>
      <c r="BF28" s="1">
        <v>9</v>
      </c>
      <c r="BG28" s="9">
        <v>2244</v>
      </c>
      <c r="BH28" s="1"/>
      <c r="BI28" s="1">
        <v>72</v>
      </c>
      <c r="BJ28" s="1">
        <v>87</v>
      </c>
      <c r="BK28" s="1">
        <v>229</v>
      </c>
      <c r="BL28" s="1">
        <v>93</v>
      </c>
      <c r="BM28" s="1">
        <v>192</v>
      </c>
      <c r="BN28" s="1">
        <v>114</v>
      </c>
      <c r="BO28" s="1">
        <v>125</v>
      </c>
      <c r="BP28" s="1">
        <v>103</v>
      </c>
      <c r="BQ28" s="1">
        <v>188</v>
      </c>
      <c r="BR28" s="1">
        <v>121</v>
      </c>
      <c r="BS28" s="1">
        <v>99</v>
      </c>
      <c r="BT28" s="1">
        <v>35</v>
      </c>
      <c r="BU28" s="1">
        <v>82</v>
      </c>
      <c r="BV28" s="1">
        <v>66</v>
      </c>
      <c r="BW28" s="1">
        <v>71</v>
      </c>
      <c r="BX28" s="1">
        <v>83</v>
      </c>
      <c r="BY28" s="1">
        <v>11</v>
      </c>
      <c r="BZ28" s="9">
        <v>1771</v>
      </c>
      <c r="CA28" s="1"/>
      <c r="CB28" s="1">
        <v>158</v>
      </c>
      <c r="CC28" s="1">
        <v>105</v>
      </c>
      <c r="CD28" s="1">
        <v>95</v>
      </c>
      <c r="CE28" s="1">
        <v>82</v>
      </c>
      <c r="CF28" s="1">
        <v>258</v>
      </c>
      <c r="CG28" s="1">
        <v>66</v>
      </c>
      <c r="CH28" s="1">
        <v>92</v>
      </c>
      <c r="CI28" s="1">
        <v>139</v>
      </c>
      <c r="CJ28" s="1">
        <v>338</v>
      </c>
      <c r="CK28" s="1">
        <v>109</v>
      </c>
      <c r="CL28" s="1">
        <v>149</v>
      </c>
      <c r="CM28" s="1">
        <v>106</v>
      </c>
      <c r="CN28" s="1">
        <v>54</v>
      </c>
      <c r="CO28" s="1">
        <v>26</v>
      </c>
      <c r="CP28" s="1">
        <v>178</v>
      </c>
      <c r="CQ28" s="1">
        <v>34</v>
      </c>
      <c r="CR28" s="1">
        <v>67</v>
      </c>
      <c r="CS28" s="9">
        <v>2056</v>
      </c>
      <c r="CT28" s="1"/>
      <c r="CU28" s="1">
        <v>56</v>
      </c>
      <c r="CV28" s="1">
        <v>146</v>
      </c>
      <c r="CW28" s="1">
        <v>134</v>
      </c>
      <c r="CX28" s="1">
        <v>51</v>
      </c>
      <c r="CY28" s="1">
        <v>145</v>
      </c>
      <c r="CZ28" s="1">
        <v>16</v>
      </c>
      <c r="DA28" s="1">
        <v>81</v>
      </c>
      <c r="DB28" s="1">
        <v>123</v>
      </c>
      <c r="DC28" s="1">
        <v>209</v>
      </c>
      <c r="DD28" s="1">
        <v>43</v>
      </c>
      <c r="DE28" s="1">
        <v>133</v>
      </c>
      <c r="DF28" s="1">
        <v>167</v>
      </c>
      <c r="DG28" s="1">
        <v>49</v>
      </c>
      <c r="DH28" s="1">
        <v>85</v>
      </c>
      <c r="DI28" s="1">
        <v>161</v>
      </c>
      <c r="DJ28" s="1">
        <v>35</v>
      </c>
      <c r="DK28" s="1">
        <v>23</v>
      </c>
      <c r="DL28" s="9">
        <v>1657</v>
      </c>
      <c r="DM28" s="1"/>
      <c r="DN28" s="1">
        <v>51</v>
      </c>
      <c r="DO28" s="1">
        <v>131</v>
      </c>
      <c r="DP28" s="1">
        <v>120</v>
      </c>
      <c r="DQ28" s="1">
        <v>105</v>
      </c>
      <c r="DR28" s="1">
        <v>176</v>
      </c>
      <c r="DS28" s="1">
        <v>55</v>
      </c>
      <c r="DT28" s="1">
        <v>74</v>
      </c>
      <c r="DU28" s="1">
        <v>126</v>
      </c>
      <c r="DV28" s="1">
        <v>124</v>
      </c>
      <c r="DW28" s="1">
        <v>93</v>
      </c>
      <c r="DX28" s="1">
        <v>236</v>
      </c>
      <c r="DY28" s="1">
        <v>142</v>
      </c>
      <c r="DZ28" s="1">
        <v>71</v>
      </c>
      <c r="EA28" s="1">
        <v>127</v>
      </c>
      <c r="EB28" s="1">
        <v>104</v>
      </c>
      <c r="EC28" s="1">
        <v>46</v>
      </c>
      <c r="ED28" s="1">
        <v>90</v>
      </c>
      <c r="EE28" s="9">
        <v>1871</v>
      </c>
      <c r="EF28" s="1"/>
      <c r="EG28" s="1">
        <v>48</v>
      </c>
      <c r="EH28" s="1">
        <v>146</v>
      </c>
      <c r="EI28" s="1">
        <v>125</v>
      </c>
      <c r="EJ28" s="1">
        <v>84</v>
      </c>
      <c r="EK28" s="1">
        <v>83</v>
      </c>
      <c r="EL28" s="1">
        <v>106</v>
      </c>
      <c r="EM28" s="1">
        <v>147</v>
      </c>
      <c r="EN28" s="1">
        <v>180</v>
      </c>
      <c r="EO28" s="1">
        <v>34</v>
      </c>
      <c r="EP28" s="1">
        <v>93</v>
      </c>
      <c r="EQ28" s="1">
        <v>101</v>
      </c>
      <c r="ER28" s="1">
        <v>158</v>
      </c>
      <c r="ES28" s="1">
        <v>57</v>
      </c>
      <c r="ET28" s="1">
        <v>12</v>
      </c>
      <c r="EU28" s="1">
        <v>76</v>
      </c>
      <c r="EV28" s="1">
        <v>23</v>
      </c>
      <c r="EW28" s="1">
        <v>33</v>
      </c>
      <c r="EX28" s="9">
        <v>1506</v>
      </c>
      <c r="EY28" s="1"/>
      <c r="EZ28" s="1">
        <v>78</v>
      </c>
      <c r="FA28" s="1">
        <v>106</v>
      </c>
      <c r="FB28" s="1">
        <v>176</v>
      </c>
      <c r="FC28" s="1">
        <v>287</v>
      </c>
      <c r="FD28" s="1">
        <v>147</v>
      </c>
      <c r="FE28" s="1">
        <v>40</v>
      </c>
      <c r="FF28" s="1">
        <v>102</v>
      </c>
      <c r="FG28" s="1">
        <v>173</v>
      </c>
      <c r="FH28" s="1">
        <v>93</v>
      </c>
      <c r="FI28" s="1">
        <v>57</v>
      </c>
      <c r="FJ28" s="1">
        <v>167</v>
      </c>
      <c r="FK28" s="1">
        <v>112</v>
      </c>
      <c r="FL28" s="1">
        <v>40</v>
      </c>
      <c r="FM28" s="1">
        <v>94</v>
      </c>
      <c r="FN28" s="1">
        <v>43</v>
      </c>
      <c r="FO28" s="1">
        <v>30</v>
      </c>
      <c r="FP28" s="1">
        <v>49</v>
      </c>
      <c r="FQ28" s="9">
        <v>1794</v>
      </c>
      <c r="FR28" s="1"/>
      <c r="FS28" s="1">
        <v>44</v>
      </c>
      <c r="FT28" s="1">
        <v>146</v>
      </c>
      <c r="FU28" s="1">
        <v>136</v>
      </c>
      <c r="FV28" s="1">
        <v>189</v>
      </c>
      <c r="FW28" s="1">
        <v>183</v>
      </c>
      <c r="FX28" s="1">
        <v>110</v>
      </c>
      <c r="FY28" s="1">
        <v>96</v>
      </c>
      <c r="FZ28" s="1">
        <v>125</v>
      </c>
      <c r="GA28" s="1">
        <v>141</v>
      </c>
      <c r="GB28" s="1">
        <v>163</v>
      </c>
      <c r="GC28" s="1">
        <v>126</v>
      </c>
      <c r="GD28" s="1">
        <v>108</v>
      </c>
      <c r="GE28" s="1">
        <v>54</v>
      </c>
      <c r="GF28" s="1">
        <v>171</v>
      </c>
      <c r="GG28" s="1">
        <v>116</v>
      </c>
      <c r="GH28" s="1">
        <v>44</v>
      </c>
      <c r="GI28" s="1">
        <v>45</v>
      </c>
      <c r="GJ28" s="9">
        <v>1997</v>
      </c>
      <c r="GK28" s="1"/>
      <c r="GL28" s="1">
        <v>35</v>
      </c>
      <c r="GM28" s="1">
        <v>135</v>
      </c>
      <c r="GN28" s="1">
        <v>149</v>
      </c>
      <c r="GO28" s="1">
        <v>157</v>
      </c>
      <c r="GP28" s="1">
        <v>118</v>
      </c>
      <c r="GQ28" s="1">
        <v>56</v>
      </c>
      <c r="GR28" s="1">
        <v>183</v>
      </c>
      <c r="GS28" s="1">
        <v>173</v>
      </c>
      <c r="GT28" s="1">
        <v>166</v>
      </c>
      <c r="GU28" s="1">
        <v>92</v>
      </c>
      <c r="GV28" s="1">
        <v>167</v>
      </c>
      <c r="GW28" s="1">
        <v>122</v>
      </c>
      <c r="GX28" s="1">
        <v>22</v>
      </c>
      <c r="GY28" s="1">
        <v>125</v>
      </c>
      <c r="GZ28" s="1">
        <v>33</v>
      </c>
      <c r="HA28" s="1">
        <v>80</v>
      </c>
      <c r="HB28" s="1">
        <v>120</v>
      </c>
      <c r="HC28" s="9">
        <v>1933</v>
      </c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9">
        <v>1491</v>
      </c>
      <c r="HW28" s="1">
        <f t="shared" si="0"/>
        <v>25587</v>
      </c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</row>
    <row r="29" spans="1:249" x14ac:dyDescent="0.4">
      <c r="A29" t="s">
        <v>43</v>
      </c>
      <c r="B29" t="s">
        <v>44</v>
      </c>
      <c r="C29" s="1"/>
      <c r="D29" s="1"/>
      <c r="E29" s="1">
        <v>34</v>
      </c>
      <c r="F29" s="1">
        <v>95</v>
      </c>
      <c r="G29" s="1">
        <v>220</v>
      </c>
      <c r="H29" s="1">
        <v>49</v>
      </c>
      <c r="I29" s="1">
        <v>43</v>
      </c>
      <c r="J29" s="1">
        <v>20</v>
      </c>
      <c r="K29" s="1">
        <v>69</v>
      </c>
      <c r="L29" s="1">
        <v>39</v>
      </c>
      <c r="M29" s="1">
        <v>71</v>
      </c>
      <c r="N29" s="1">
        <v>31</v>
      </c>
      <c r="O29" s="1">
        <v>58</v>
      </c>
      <c r="P29" s="1">
        <v>14</v>
      </c>
      <c r="Q29" s="1">
        <v>127</v>
      </c>
      <c r="R29" s="1">
        <v>41</v>
      </c>
      <c r="S29" s="1">
        <v>16</v>
      </c>
      <c r="T29" s="1">
        <v>49</v>
      </c>
      <c r="U29" s="9">
        <v>976</v>
      </c>
      <c r="V29" s="1"/>
      <c r="W29" s="1"/>
      <c r="X29" s="1">
        <v>23</v>
      </c>
      <c r="Y29" s="1">
        <v>76</v>
      </c>
      <c r="Z29" s="1">
        <v>60</v>
      </c>
      <c r="AA29" s="1">
        <v>5</v>
      </c>
      <c r="AB29" s="1">
        <v>75</v>
      </c>
      <c r="AC29" s="1">
        <v>10</v>
      </c>
      <c r="AD29" s="1">
        <v>22</v>
      </c>
      <c r="AE29" s="1">
        <v>29</v>
      </c>
      <c r="AF29" s="1">
        <v>26</v>
      </c>
      <c r="AG29" s="1">
        <v>39</v>
      </c>
      <c r="AH29" s="1">
        <v>45</v>
      </c>
      <c r="AI29" s="1">
        <v>8</v>
      </c>
      <c r="AJ29" s="1">
        <v>56</v>
      </c>
      <c r="AK29" s="1">
        <v>5</v>
      </c>
      <c r="AL29" s="1">
        <v>17</v>
      </c>
      <c r="AM29" s="1">
        <v>44</v>
      </c>
      <c r="AN29" s="9">
        <v>540</v>
      </c>
      <c r="AO29" s="1"/>
      <c r="AP29" s="1"/>
      <c r="AQ29" s="1">
        <v>28</v>
      </c>
      <c r="AR29" s="1">
        <v>66</v>
      </c>
      <c r="AS29" s="1">
        <v>64</v>
      </c>
      <c r="AT29" s="1">
        <v>5</v>
      </c>
      <c r="AU29" s="1">
        <v>78</v>
      </c>
      <c r="AV29" s="1">
        <v>21</v>
      </c>
      <c r="AW29" s="1">
        <v>36</v>
      </c>
      <c r="AX29" s="1">
        <v>55</v>
      </c>
      <c r="AY29" s="1">
        <v>57</v>
      </c>
      <c r="AZ29" s="1">
        <v>44</v>
      </c>
      <c r="BA29" s="1">
        <v>52</v>
      </c>
      <c r="BB29" s="1">
        <v>30</v>
      </c>
      <c r="BC29" s="1">
        <v>89</v>
      </c>
      <c r="BD29" s="1">
        <v>16</v>
      </c>
      <c r="BE29" s="1">
        <v>14</v>
      </c>
      <c r="BF29" s="1">
        <v>58</v>
      </c>
      <c r="BG29" s="9">
        <v>713</v>
      </c>
      <c r="BH29" s="1"/>
      <c r="BI29" s="1"/>
      <c r="BJ29" s="1">
        <v>21</v>
      </c>
      <c r="BK29" s="1">
        <v>44</v>
      </c>
      <c r="BL29" s="1">
        <v>65</v>
      </c>
      <c r="BM29" s="1">
        <v>6</v>
      </c>
      <c r="BN29" s="1">
        <v>83</v>
      </c>
      <c r="BO29" s="1">
        <v>33</v>
      </c>
      <c r="BP29" s="1">
        <v>20</v>
      </c>
      <c r="BQ29" s="1">
        <v>29</v>
      </c>
      <c r="BR29" s="1">
        <v>92</v>
      </c>
      <c r="BS29" s="1">
        <v>22</v>
      </c>
      <c r="BT29" s="1">
        <v>48</v>
      </c>
      <c r="BU29" s="1">
        <v>33</v>
      </c>
      <c r="BV29" s="1">
        <v>51</v>
      </c>
      <c r="BW29" s="1">
        <v>6</v>
      </c>
      <c r="BX29" s="1">
        <v>20</v>
      </c>
      <c r="BY29" s="1">
        <v>29</v>
      </c>
      <c r="BZ29" s="9">
        <v>602</v>
      </c>
      <c r="CA29" s="1"/>
      <c r="CB29" s="1"/>
      <c r="CC29" s="1">
        <v>14</v>
      </c>
      <c r="CD29" s="1">
        <v>34</v>
      </c>
      <c r="CE29" s="1">
        <v>36</v>
      </c>
      <c r="CF29" s="1">
        <v>1</v>
      </c>
      <c r="CG29" s="1">
        <v>38</v>
      </c>
      <c r="CH29" s="1">
        <v>11</v>
      </c>
      <c r="CI29" s="1">
        <v>20</v>
      </c>
      <c r="CJ29" s="1">
        <v>35</v>
      </c>
      <c r="CK29" s="1">
        <v>40</v>
      </c>
      <c r="CL29" s="1">
        <v>15</v>
      </c>
      <c r="CM29" s="1">
        <v>38</v>
      </c>
      <c r="CN29" s="1">
        <v>25</v>
      </c>
      <c r="CO29" s="1">
        <v>54</v>
      </c>
      <c r="CP29" s="1">
        <v>16</v>
      </c>
      <c r="CQ29" s="1">
        <v>4</v>
      </c>
      <c r="CR29" s="1">
        <v>18</v>
      </c>
      <c r="CS29" s="9">
        <v>399</v>
      </c>
      <c r="CT29" s="1"/>
      <c r="CU29" s="1"/>
      <c r="CV29" s="1">
        <v>22</v>
      </c>
      <c r="CW29" s="1">
        <v>93</v>
      </c>
      <c r="CX29" s="1">
        <v>53</v>
      </c>
      <c r="CY29" s="1">
        <v>7</v>
      </c>
      <c r="CZ29" s="1">
        <v>129</v>
      </c>
      <c r="DA29" s="1">
        <v>85</v>
      </c>
      <c r="DB29" s="1">
        <v>28</v>
      </c>
      <c r="DC29" s="1">
        <v>62</v>
      </c>
      <c r="DD29" s="1">
        <v>50</v>
      </c>
      <c r="DE29" s="1">
        <v>43</v>
      </c>
      <c r="DF29" s="1">
        <v>47</v>
      </c>
      <c r="DG29" s="1">
        <v>20</v>
      </c>
      <c r="DH29" s="1">
        <v>86</v>
      </c>
      <c r="DI29" s="1">
        <v>8</v>
      </c>
      <c r="DJ29" s="1">
        <v>11</v>
      </c>
      <c r="DK29" s="1">
        <v>33</v>
      </c>
      <c r="DL29" s="9">
        <v>777</v>
      </c>
      <c r="DM29" s="1"/>
      <c r="DN29" s="1"/>
      <c r="DO29" s="1">
        <v>34</v>
      </c>
      <c r="DP29" s="1">
        <v>101</v>
      </c>
      <c r="DQ29" s="1">
        <v>54</v>
      </c>
      <c r="DR29" s="1">
        <v>10</v>
      </c>
      <c r="DS29" s="1">
        <v>173</v>
      </c>
      <c r="DT29" s="1">
        <v>34</v>
      </c>
      <c r="DU29" s="1">
        <v>37</v>
      </c>
      <c r="DV29" s="1">
        <v>77</v>
      </c>
      <c r="DW29" s="1">
        <v>84</v>
      </c>
      <c r="DX29" s="1">
        <v>42</v>
      </c>
      <c r="DY29" s="1">
        <v>48</v>
      </c>
      <c r="DZ29" s="1">
        <v>48</v>
      </c>
      <c r="EA29" s="1">
        <v>76</v>
      </c>
      <c r="EB29" s="1">
        <v>7</v>
      </c>
      <c r="EC29" s="1">
        <v>8</v>
      </c>
      <c r="ED29" s="1">
        <v>50</v>
      </c>
      <c r="EE29" s="9">
        <v>883</v>
      </c>
      <c r="EF29" s="1"/>
      <c r="EG29" s="1"/>
      <c r="EH29" s="1">
        <v>20</v>
      </c>
      <c r="EI29" s="1">
        <v>132</v>
      </c>
      <c r="EJ29" s="1">
        <v>68</v>
      </c>
      <c r="EK29" s="1">
        <v>3</v>
      </c>
      <c r="EL29" s="1">
        <v>117</v>
      </c>
      <c r="EM29" s="1">
        <v>42</v>
      </c>
      <c r="EN29" s="1">
        <v>64</v>
      </c>
      <c r="EO29" s="1">
        <v>121</v>
      </c>
      <c r="EP29" s="1">
        <v>64</v>
      </c>
      <c r="EQ29" s="1">
        <v>19</v>
      </c>
      <c r="ER29" s="1">
        <v>38</v>
      </c>
      <c r="ES29" s="1">
        <v>19</v>
      </c>
      <c r="ET29" s="1">
        <v>42</v>
      </c>
      <c r="EU29" s="1">
        <v>20</v>
      </c>
      <c r="EV29" s="1">
        <v>7</v>
      </c>
      <c r="EW29" s="1">
        <v>27</v>
      </c>
      <c r="EX29" s="9">
        <v>803</v>
      </c>
      <c r="EY29" s="1"/>
      <c r="EZ29" s="1"/>
      <c r="FA29" s="1">
        <v>20</v>
      </c>
      <c r="FB29" s="1">
        <v>132</v>
      </c>
      <c r="FC29" s="1">
        <v>70</v>
      </c>
      <c r="FD29" s="1"/>
      <c r="FE29" s="1">
        <v>208</v>
      </c>
      <c r="FF29" s="1">
        <v>47</v>
      </c>
      <c r="FG29" s="1">
        <v>57</v>
      </c>
      <c r="FH29" s="1">
        <v>48</v>
      </c>
      <c r="FI29" s="1">
        <v>43</v>
      </c>
      <c r="FJ29" s="1">
        <v>31</v>
      </c>
      <c r="FK29" s="1">
        <v>57</v>
      </c>
      <c r="FL29" s="1">
        <v>33</v>
      </c>
      <c r="FM29" s="1">
        <v>55</v>
      </c>
      <c r="FN29" s="1">
        <v>9</v>
      </c>
      <c r="FO29" s="1">
        <v>3</v>
      </c>
      <c r="FP29" s="1">
        <v>43</v>
      </c>
      <c r="FQ29" s="9">
        <v>856</v>
      </c>
      <c r="FR29" s="1"/>
      <c r="FS29" s="1"/>
      <c r="FT29" s="1">
        <v>22</v>
      </c>
      <c r="FU29" s="1">
        <v>119</v>
      </c>
      <c r="FV29" s="1">
        <v>29</v>
      </c>
      <c r="FW29" s="1">
        <v>8</v>
      </c>
      <c r="FX29" s="1">
        <v>104</v>
      </c>
      <c r="FY29" s="1">
        <v>6</v>
      </c>
      <c r="FZ29" s="1">
        <v>43</v>
      </c>
      <c r="GA29" s="1">
        <v>53</v>
      </c>
      <c r="GB29" s="1">
        <v>46</v>
      </c>
      <c r="GC29" s="1">
        <v>58</v>
      </c>
      <c r="GD29" s="1">
        <v>36</v>
      </c>
      <c r="GE29" s="1">
        <v>26</v>
      </c>
      <c r="GF29" s="1">
        <v>73</v>
      </c>
      <c r="GG29" s="1">
        <v>2</v>
      </c>
      <c r="GH29" s="1">
        <v>2</v>
      </c>
      <c r="GI29" s="1">
        <v>28</v>
      </c>
      <c r="GJ29" s="9">
        <v>655</v>
      </c>
      <c r="GK29" s="1"/>
      <c r="GL29" s="1"/>
      <c r="GM29" s="1">
        <v>33</v>
      </c>
      <c r="GN29" s="1">
        <v>74</v>
      </c>
      <c r="GO29" s="1">
        <v>38</v>
      </c>
      <c r="GP29" s="1">
        <v>2</v>
      </c>
      <c r="GQ29" s="1">
        <v>73</v>
      </c>
      <c r="GR29" s="1">
        <v>7</v>
      </c>
      <c r="GS29" s="1">
        <v>28</v>
      </c>
      <c r="GT29" s="1">
        <v>63</v>
      </c>
      <c r="GU29" s="1">
        <v>72</v>
      </c>
      <c r="GV29" s="1">
        <v>41</v>
      </c>
      <c r="GW29" s="1">
        <v>55</v>
      </c>
      <c r="GX29" s="1">
        <v>17</v>
      </c>
      <c r="GY29" s="1">
        <v>79</v>
      </c>
      <c r="GZ29" s="1">
        <v>5</v>
      </c>
      <c r="HA29" s="1">
        <v>1</v>
      </c>
      <c r="HB29" s="1">
        <v>29</v>
      </c>
      <c r="HC29" s="9">
        <v>617</v>
      </c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9">
        <v>540</v>
      </c>
      <c r="HW29" s="1">
        <f t="shared" si="0"/>
        <v>8361</v>
      </c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</row>
    <row r="30" spans="1:249" x14ac:dyDescent="0.4">
      <c r="A30" t="s">
        <v>43</v>
      </c>
      <c r="B30" t="s">
        <v>102</v>
      </c>
      <c r="C30" s="1"/>
      <c r="D30" s="1"/>
      <c r="E30" s="1">
        <v>570</v>
      </c>
      <c r="F30" s="1">
        <v>618</v>
      </c>
      <c r="G30" s="1">
        <v>612</v>
      </c>
      <c r="H30" s="1">
        <v>205</v>
      </c>
      <c r="I30" s="1">
        <v>229</v>
      </c>
      <c r="J30" s="1">
        <v>323</v>
      </c>
      <c r="K30" s="1">
        <v>506</v>
      </c>
      <c r="L30" s="1">
        <v>443</v>
      </c>
      <c r="M30" s="1">
        <v>500</v>
      </c>
      <c r="N30" s="1">
        <v>383</v>
      </c>
      <c r="O30" s="1">
        <v>813</v>
      </c>
      <c r="P30" s="1">
        <v>132</v>
      </c>
      <c r="Q30" s="1">
        <v>544</v>
      </c>
      <c r="R30" s="1">
        <v>130</v>
      </c>
      <c r="S30" s="1">
        <v>71</v>
      </c>
      <c r="T30" s="1">
        <v>422</v>
      </c>
      <c r="U30" s="9">
        <v>6501</v>
      </c>
      <c r="V30" s="1"/>
      <c r="W30" s="1"/>
      <c r="X30" s="1">
        <v>235</v>
      </c>
      <c r="Y30" s="1">
        <v>196</v>
      </c>
      <c r="Z30" s="1">
        <v>277</v>
      </c>
      <c r="AA30" s="1">
        <v>32</v>
      </c>
      <c r="AB30" s="1">
        <v>244</v>
      </c>
      <c r="AC30" s="1">
        <v>232</v>
      </c>
      <c r="AD30" s="1">
        <v>244</v>
      </c>
      <c r="AE30" s="1">
        <v>284</v>
      </c>
      <c r="AF30" s="1">
        <v>194</v>
      </c>
      <c r="AG30" s="1">
        <v>205</v>
      </c>
      <c r="AH30" s="1">
        <v>416</v>
      </c>
      <c r="AI30" s="1">
        <v>124</v>
      </c>
      <c r="AJ30" s="1">
        <v>381</v>
      </c>
      <c r="AK30" s="1">
        <v>49</v>
      </c>
      <c r="AL30" s="1">
        <v>53</v>
      </c>
      <c r="AM30" s="1">
        <v>270</v>
      </c>
      <c r="AN30" s="9">
        <v>3436</v>
      </c>
      <c r="AO30" s="1"/>
      <c r="AP30" s="1"/>
      <c r="AQ30" s="1">
        <v>186</v>
      </c>
      <c r="AR30" s="1">
        <v>250</v>
      </c>
      <c r="AS30" s="1">
        <v>377</v>
      </c>
      <c r="AT30" s="1">
        <v>61</v>
      </c>
      <c r="AU30" s="1">
        <v>336</v>
      </c>
      <c r="AV30" s="1">
        <v>270</v>
      </c>
      <c r="AW30" s="1">
        <v>199</v>
      </c>
      <c r="AX30" s="1">
        <v>408</v>
      </c>
      <c r="AY30" s="1">
        <v>294</v>
      </c>
      <c r="AZ30" s="1">
        <v>297</v>
      </c>
      <c r="BA30" s="1">
        <v>304</v>
      </c>
      <c r="BB30" s="1">
        <v>187</v>
      </c>
      <c r="BC30" s="1">
        <v>379</v>
      </c>
      <c r="BD30" s="1">
        <v>25</v>
      </c>
      <c r="BE30" s="1">
        <v>36</v>
      </c>
      <c r="BF30" s="1">
        <v>358</v>
      </c>
      <c r="BG30" s="9">
        <v>3967</v>
      </c>
      <c r="BH30" s="1"/>
      <c r="BI30" s="1"/>
      <c r="BJ30" s="1">
        <v>412</v>
      </c>
      <c r="BK30" s="1">
        <v>408</v>
      </c>
      <c r="BL30" s="1">
        <v>358</v>
      </c>
      <c r="BM30" s="1">
        <v>54</v>
      </c>
      <c r="BN30" s="1">
        <v>239</v>
      </c>
      <c r="BO30" s="1">
        <v>211</v>
      </c>
      <c r="BP30" s="1">
        <v>284</v>
      </c>
      <c r="BQ30" s="1">
        <v>137</v>
      </c>
      <c r="BR30" s="1">
        <v>165</v>
      </c>
      <c r="BS30" s="1">
        <v>148</v>
      </c>
      <c r="BT30" s="1">
        <v>566</v>
      </c>
      <c r="BU30" s="1">
        <v>163</v>
      </c>
      <c r="BV30" s="1">
        <v>353</v>
      </c>
      <c r="BW30" s="1">
        <v>81</v>
      </c>
      <c r="BX30" s="1">
        <v>27</v>
      </c>
      <c r="BY30" s="1">
        <v>273</v>
      </c>
      <c r="BZ30" s="9">
        <v>3879</v>
      </c>
      <c r="CA30" s="1"/>
      <c r="CB30" s="1"/>
      <c r="CC30" s="1">
        <v>215</v>
      </c>
      <c r="CD30" s="1">
        <v>300</v>
      </c>
      <c r="CE30" s="1">
        <v>246</v>
      </c>
      <c r="CF30" s="1">
        <v>37</v>
      </c>
      <c r="CG30" s="1">
        <v>318</v>
      </c>
      <c r="CH30" s="1">
        <v>223</v>
      </c>
      <c r="CI30" s="1">
        <v>180</v>
      </c>
      <c r="CJ30" s="1">
        <v>219</v>
      </c>
      <c r="CK30" s="1">
        <v>365</v>
      </c>
      <c r="CL30" s="1">
        <v>74</v>
      </c>
      <c r="CM30" s="1">
        <v>358</v>
      </c>
      <c r="CN30" s="1">
        <v>80</v>
      </c>
      <c r="CO30" s="1">
        <v>404</v>
      </c>
      <c r="CP30" s="1">
        <v>164</v>
      </c>
      <c r="CQ30" s="1">
        <v>33</v>
      </c>
      <c r="CR30" s="1">
        <v>302</v>
      </c>
      <c r="CS30" s="9">
        <v>3518</v>
      </c>
      <c r="CT30" s="1"/>
      <c r="CU30" s="1"/>
      <c r="CV30" s="1">
        <v>278</v>
      </c>
      <c r="CW30" s="1">
        <v>483</v>
      </c>
      <c r="CX30" s="1">
        <v>372</v>
      </c>
      <c r="CY30" s="1">
        <v>41</v>
      </c>
      <c r="CZ30" s="1">
        <v>363</v>
      </c>
      <c r="DA30" s="1">
        <v>232</v>
      </c>
      <c r="DB30" s="1">
        <v>234</v>
      </c>
      <c r="DC30" s="1">
        <v>163</v>
      </c>
      <c r="DD30" s="1">
        <v>240</v>
      </c>
      <c r="DE30" s="1">
        <v>225</v>
      </c>
      <c r="DF30" s="1">
        <v>371</v>
      </c>
      <c r="DG30" s="1">
        <v>94</v>
      </c>
      <c r="DH30" s="1">
        <v>330</v>
      </c>
      <c r="DI30" s="1">
        <v>49</v>
      </c>
      <c r="DJ30" s="1">
        <v>58</v>
      </c>
      <c r="DK30" s="1">
        <v>243</v>
      </c>
      <c r="DL30" s="9">
        <v>3776</v>
      </c>
      <c r="DM30" s="1"/>
      <c r="DN30" s="1"/>
      <c r="DO30" s="1">
        <v>152</v>
      </c>
      <c r="DP30" s="1">
        <v>532</v>
      </c>
      <c r="DQ30" s="1">
        <v>216</v>
      </c>
      <c r="DR30" s="1">
        <v>30</v>
      </c>
      <c r="DS30" s="1">
        <v>395</v>
      </c>
      <c r="DT30" s="1">
        <v>235</v>
      </c>
      <c r="DU30" s="1">
        <v>304</v>
      </c>
      <c r="DV30" s="1">
        <v>110</v>
      </c>
      <c r="DW30" s="1">
        <v>266</v>
      </c>
      <c r="DX30" s="1">
        <v>350</v>
      </c>
      <c r="DY30" s="1">
        <v>420</v>
      </c>
      <c r="DZ30" s="1">
        <v>72</v>
      </c>
      <c r="EA30" s="1">
        <v>381</v>
      </c>
      <c r="EB30" s="1">
        <v>59</v>
      </c>
      <c r="EC30" s="1">
        <v>46</v>
      </c>
      <c r="ED30" s="1">
        <v>194</v>
      </c>
      <c r="EE30" s="9">
        <v>3762</v>
      </c>
      <c r="EF30" s="1"/>
      <c r="EG30" s="1"/>
      <c r="EH30" s="1">
        <v>166</v>
      </c>
      <c r="EI30" s="1">
        <v>206</v>
      </c>
      <c r="EJ30" s="1">
        <v>265</v>
      </c>
      <c r="EK30" s="1">
        <v>55</v>
      </c>
      <c r="EL30" s="1">
        <v>316</v>
      </c>
      <c r="EM30" s="1">
        <v>287</v>
      </c>
      <c r="EN30" s="1">
        <v>188</v>
      </c>
      <c r="EO30" s="1">
        <v>333</v>
      </c>
      <c r="EP30" s="1">
        <v>254</v>
      </c>
      <c r="EQ30" s="1">
        <v>153</v>
      </c>
      <c r="ER30" s="1">
        <v>567</v>
      </c>
      <c r="ES30" s="1">
        <v>75</v>
      </c>
      <c r="ET30" s="1">
        <v>266</v>
      </c>
      <c r="EU30" s="1">
        <v>82</v>
      </c>
      <c r="EV30" s="1">
        <v>27</v>
      </c>
      <c r="EW30" s="1">
        <v>268</v>
      </c>
      <c r="EX30" s="9">
        <v>3508</v>
      </c>
      <c r="EY30" s="1"/>
      <c r="EZ30" s="1"/>
      <c r="FA30" s="1">
        <v>199</v>
      </c>
      <c r="FB30" s="1">
        <v>454</v>
      </c>
      <c r="FC30" s="1">
        <v>344</v>
      </c>
      <c r="FD30" s="1">
        <v>50</v>
      </c>
      <c r="FE30" s="1">
        <v>405</v>
      </c>
      <c r="FF30" s="1">
        <v>214</v>
      </c>
      <c r="FG30" s="1">
        <v>442</v>
      </c>
      <c r="FH30" s="1">
        <v>107</v>
      </c>
      <c r="FI30" s="1">
        <v>149</v>
      </c>
      <c r="FJ30" s="1">
        <v>138</v>
      </c>
      <c r="FK30" s="1">
        <v>421</v>
      </c>
      <c r="FL30" s="1">
        <v>113</v>
      </c>
      <c r="FM30" s="1">
        <v>339</v>
      </c>
      <c r="FN30" s="1">
        <v>65</v>
      </c>
      <c r="FO30" s="1">
        <v>32</v>
      </c>
      <c r="FP30" s="1">
        <v>312</v>
      </c>
      <c r="FQ30" s="9">
        <v>3784</v>
      </c>
      <c r="FR30" s="1"/>
      <c r="FS30" s="1"/>
      <c r="FT30" s="1">
        <v>170</v>
      </c>
      <c r="FU30" s="1">
        <v>361</v>
      </c>
      <c r="FV30" s="1">
        <v>176</v>
      </c>
      <c r="FW30" s="1">
        <v>13</v>
      </c>
      <c r="FX30" s="1">
        <v>271</v>
      </c>
      <c r="FY30" s="1">
        <v>305</v>
      </c>
      <c r="FZ30" s="1">
        <v>221</v>
      </c>
      <c r="GA30" s="1">
        <v>144</v>
      </c>
      <c r="GB30" s="1">
        <v>120</v>
      </c>
      <c r="GC30" s="1">
        <v>175</v>
      </c>
      <c r="GD30" s="1">
        <v>355</v>
      </c>
      <c r="GE30" s="1">
        <v>107</v>
      </c>
      <c r="GF30" s="1">
        <v>267</v>
      </c>
      <c r="GG30" s="1">
        <v>38</v>
      </c>
      <c r="GH30" s="1">
        <v>3</v>
      </c>
      <c r="GI30" s="1">
        <v>170</v>
      </c>
      <c r="GJ30" s="9">
        <v>2896</v>
      </c>
      <c r="GK30" s="1"/>
      <c r="GL30" s="1"/>
      <c r="GM30" s="1">
        <v>78</v>
      </c>
      <c r="GN30" s="1">
        <v>241</v>
      </c>
      <c r="GO30" s="1">
        <v>242</v>
      </c>
      <c r="GP30" s="1">
        <v>56</v>
      </c>
      <c r="GQ30" s="1">
        <v>262</v>
      </c>
      <c r="GR30" s="1">
        <v>184</v>
      </c>
      <c r="GS30" s="1">
        <v>220</v>
      </c>
      <c r="GT30" s="1">
        <v>197</v>
      </c>
      <c r="GU30" s="1">
        <v>148</v>
      </c>
      <c r="GV30" s="1">
        <v>127</v>
      </c>
      <c r="GW30" s="1">
        <v>415</v>
      </c>
      <c r="GX30" s="1">
        <v>43</v>
      </c>
      <c r="GY30" s="1">
        <v>200</v>
      </c>
      <c r="GZ30" s="1">
        <v>50</v>
      </c>
      <c r="HA30" s="1">
        <v>39</v>
      </c>
      <c r="HB30" s="1">
        <v>227</v>
      </c>
      <c r="HC30" s="9">
        <v>2729</v>
      </c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9">
        <v>2800</v>
      </c>
      <c r="HW30" s="1">
        <f t="shared" si="0"/>
        <v>44556</v>
      </c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</row>
    <row r="31" spans="1:249" s="6" customFormat="1" x14ac:dyDescent="0.4">
      <c r="A31" s="6" t="s">
        <v>43</v>
      </c>
      <c r="B31" s="6" t="s">
        <v>19</v>
      </c>
      <c r="C31" s="7"/>
      <c r="D31" s="7"/>
      <c r="E31" s="7">
        <v>10</v>
      </c>
      <c r="F31" s="7">
        <v>18</v>
      </c>
      <c r="G31" s="7">
        <v>10</v>
      </c>
      <c r="H31" s="7">
        <v>30</v>
      </c>
      <c r="I31" s="7">
        <v>1</v>
      </c>
      <c r="J31" s="7">
        <v>18</v>
      </c>
      <c r="K31" s="7">
        <v>38</v>
      </c>
      <c r="L31" s="7">
        <v>4</v>
      </c>
      <c r="M31" s="7">
        <v>8</v>
      </c>
      <c r="N31" s="7">
        <v>10</v>
      </c>
      <c r="O31" s="7"/>
      <c r="P31" s="7"/>
      <c r="Q31" s="7">
        <v>2</v>
      </c>
      <c r="R31" s="7">
        <v>6</v>
      </c>
      <c r="S31" s="7">
        <v>1</v>
      </c>
      <c r="T31" s="7">
        <v>5</v>
      </c>
      <c r="U31" s="9">
        <v>161</v>
      </c>
      <c r="V31" s="7"/>
      <c r="W31" s="7"/>
      <c r="X31" s="7">
        <v>7</v>
      </c>
      <c r="Y31" s="7">
        <v>8</v>
      </c>
      <c r="Z31" s="7">
        <v>5</v>
      </c>
      <c r="AA31" s="7">
        <v>6</v>
      </c>
      <c r="AB31" s="7">
        <v>2</v>
      </c>
      <c r="AC31" s="7">
        <v>4</v>
      </c>
      <c r="AD31" s="7">
        <v>7</v>
      </c>
      <c r="AE31" s="7"/>
      <c r="AF31" s="7">
        <v>1</v>
      </c>
      <c r="AG31" s="7">
        <v>1</v>
      </c>
      <c r="AH31" s="7">
        <v>5</v>
      </c>
      <c r="AI31" s="7">
        <v>1</v>
      </c>
      <c r="AJ31" s="7">
        <v>2</v>
      </c>
      <c r="AK31" s="7">
        <v>3</v>
      </c>
      <c r="AL31" s="7">
        <v>1</v>
      </c>
      <c r="AM31" s="7">
        <v>1</v>
      </c>
      <c r="AN31" s="9">
        <v>54</v>
      </c>
      <c r="AO31" s="7"/>
      <c r="AP31" s="7"/>
      <c r="AQ31" s="7">
        <v>7</v>
      </c>
      <c r="AR31" s="7">
        <v>8</v>
      </c>
      <c r="AS31" s="7">
        <v>10</v>
      </c>
      <c r="AT31" s="7"/>
      <c r="AU31" s="7">
        <v>4</v>
      </c>
      <c r="AV31" s="7">
        <v>7</v>
      </c>
      <c r="AW31" s="7">
        <v>20</v>
      </c>
      <c r="AX31" s="7"/>
      <c r="AY31" s="7">
        <v>2</v>
      </c>
      <c r="AZ31" s="7">
        <v>1</v>
      </c>
      <c r="BA31" s="7">
        <v>2</v>
      </c>
      <c r="BB31" s="7">
        <v>1</v>
      </c>
      <c r="BC31" s="7"/>
      <c r="BD31" s="7"/>
      <c r="BE31" s="7">
        <v>2</v>
      </c>
      <c r="BF31" s="7">
        <v>5</v>
      </c>
      <c r="BG31" s="9">
        <v>69</v>
      </c>
      <c r="BH31" s="7"/>
      <c r="BI31" s="7"/>
      <c r="BJ31" s="7">
        <v>15</v>
      </c>
      <c r="BK31" s="7">
        <v>5</v>
      </c>
      <c r="BL31" s="7">
        <v>2</v>
      </c>
      <c r="BM31" s="7">
        <v>2</v>
      </c>
      <c r="BN31" s="7"/>
      <c r="BO31" s="7">
        <v>21</v>
      </c>
      <c r="BP31" s="7">
        <v>3</v>
      </c>
      <c r="BQ31" s="7">
        <v>1</v>
      </c>
      <c r="BR31" s="7">
        <v>1</v>
      </c>
      <c r="BS31" s="7"/>
      <c r="BT31" s="7">
        <v>1</v>
      </c>
      <c r="BU31" s="7"/>
      <c r="BV31" s="7">
        <v>72</v>
      </c>
      <c r="BW31" s="7"/>
      <c r="BX31" s="7">
        <v>8</v>
      </c>
      <c r="BY31" s="7"/>
      <c r="BZ31" s="9">
        <v>131</v>
      </c>
      <c r="CA31" s="7"/>
      <c r="CB31" s="7"/>
      <c r="CC31" s="7">
        <v>1</v>
      </c>
      <c r="CD31" s="7">
        <v>1</v>
      </c>
      <c r="CE31" s="7">
        <v>1</v>
      </c>
      <c r="CF31" s="7">
        <v>3</v>
      </c>
      <c r="CG31" s="7"/>
      <c r="CH31" s="7">
        <v>1</v>
      </c>
      <c r="CI31" s="7"/>
      <c r="CJ31" s="7">
        <v>2</v>
      </c>
      <c r="CK31" s="7">
        <v>5</v>
      </c>
      <c r="CL31" s="7"/>
      <c r="CM31" s="7">
        <v>6</v>
      </c>
      <c r="CN31" s="7">
        <v>1</v>
      </c>
      <c r="CO31" s="7">
        <v>1</v>
      </c>
      <c r="CP31" s="7">
        <v>1</v>
      </c>
      <c r="CQ31" s="7">
        <v>3</v>
      </c>
      <c r="CR31" s="7"/>
      <c r="CS31" s="9">
        <v>26</v>
      </c>
      <c r="CT31" s="7"/>
      <c r="CU31" s="7"/>
      <c r="CV31" s="7">
        <v>5</v>
      </c>
      <c r="CW31" s="7">
        <v>3</v>
      </c>
      <c r="CX31" s="7">
        <v>17</v>
      </c>
      <c r="CY31" s="7"/>
      <c r="CZ31" s="7">
        <v>1</v>
      </c>
      <c r="DA31" s="7">
        <v>1</v>
      </c>
      <c r="DB31" s="7">
        <v>2</v>
      </c>
      <c r="DC31" s="7"/>
      <c r="DD31" s="7">
        <v>2</v>
      </c>
      <c r="DE31" s="7"/>
      <c r="DF31" s="7">
        <v>3</v>
      </c>
      <c r="DG31" s="7">
        <v>1</v>
      </c>
      <c r="DH31" s="7">
        <v>7</v>
      </c>
      <c r="DI31" s="7">
        <v>1</v>
      </c>
      <c r="DJ31" s="7">
        <v>3</v>
      </c>
      <c r="DK31" s="7"/>
      <c r="DL31" s="9">
        <v>46</v>
      </c>
      <c r="DM31" s="7"/>
      <c r="DN31" s="7"/>
      <c r="DO31" s="7">
        <v>10</v>
      </c>
      <c r="DP31" s="7">
        <v>2</v>
      </c>
      <c r="DQ31" s="7">
        <v>4</v>
      </c>
      <c r="DR31" s="7"/>
      <c r="DS31" s="7"/>
      <c r="DT31" s="7">
        <v>3</v>
      </c>
      <c r="DU31" s="7">
        <v>1</v>
      </c>
      <c r="DV31" s="7"/>
      <c r="DW31" s="7">
        <v>7</v>
      </c>
      <c r="DX31" s="7">
        <v>2</v>
      </c>
      <c r="DY31" s="7">
        <v>2</v>
      </c>
      <c r="DZ31" s="7"/>
      <c r="EA31" s="7">
        <v>8</v>
      </c>
      <c r="EB31" s="7">
        <v>6</v>
      </c>
      <c r="EC31" s="7">
        <v>3</v>
      </c>
      <c r="ED31" s="7"/>
      <c r="EE31" s="9">
        <v>48</v>
      </c>
      <c r="EF31" s="7"/>
      <c r="EG31" s="7"/>
      <c r="EH31" s="7">
        <v>2</v>
      </c>
      <c r="EI31" s="7">
        <v>7</v>
      </c>
      <c r="EJ31" s="7">
        <v>1</v>
      </c>
      <c r="EK31" s="7">
        <v>1</v>
      </c>
      <c r="EL31" s="7"/>
      <c r="EM31" s="7">
        <v>4</v>
      </c>
      <c r="EN31" s="7">
        <v>8</v>
      </c>
      <c r="EO31" s="7"/>
      <c r="EP31" s="7">
        <v>3</v>
      </c>
      <c r="EQ31" s="7">
        <v>1</v>
      </c>
      <c r="ER31" s="7">
        <v>3</v>
      </c>
      <c r="ES31" s="7">
        <v>1</v>
      </c>
      <c r="ET31" s="7"/>
      <c r="EU31" s="7">
        <v>2</v>
      </c>
      <c r="EV31" s="7">
        <v>2</v>
      </c>
      <c r="EW31" s="7"/>
      <c r="EX31" s="9">
        <v>35</v>
      </c>
      <c r="EY31" s="7"/>
      <c r="EZ31" s="7">
        <v>8</v>
      </c>
      <c r="FA31" s="7">
        <v>2</v>
      </c>
      <c r="FB31" s="7">
        <v>4</v>
      </c>
      <c r="FC31" s="7">
        <v>8</v>
      </c>
      <c r="FD31" s="7"/>
      <c r="FE31" s="7"/>
      <c r="FF31" s="7">
        <v>3</v>
      </c>
      <c r="FG31" s="7">
        <v>4</v>
      </c>
      <c r="FH31" s="7"/>
      <c r="FI31" s="7">
        <v>1</v>
      </c>
      <c r="FJ31" s="7"/>
      <c r="FK31" s="7">
        <v>2</v>
      </c>
      <c r="FL31" s="7"/>
      <c r="FM31" s="7">
        <v>1</v>
      </c>
      <c r="FN31" s="7">
        <v>2</v>
      </c>
      <c r="FO31" s="7">
        <v>3</v>
      </c>
      <c r="FP31" s="7">
        <v>1</v>
      </c>
      <c r="FQ31" s="9">
        <v>39</v>
      </c>
      <c r="FR31" s="7"/>
      <c r="FS31" s="7"/>
      <c r="FT31" s="7">
        <v>5</v>
      </c>
      <c r="FU31" s="7">
        <v>2</v>
      </c>
      <c r="FV31" s="7">
        <v>3</v>
      </c>
      <c r="FW31" s="7">
        <v>1</v>
      </c>
      <c r="FX31" s="7"/>
      <c r="FY31" s="7">
        <v>11</v>
      </c>
      <c r="FZ31" s="7">
        <v>1</v>
      </c>
      <c r="GA31" s="7"/>
      <c r="GB31" s="7"/>
      <c r="GC31" s="7">
        <v>1</v>
      </c>
      <c r="GD31" s="7"/>
      <c r="GE31" s="7"/>
      <c r="GF31" s="7"/>
      <c r="GG31" s="7">
        <v>3</v>
      </c>
      <c r="GH31" s="7">
        <v>5</v>
      </c>
      <c r="GI31" s="7"/>
      <c r="GJ31" s="9">
        <v>32</v>
      </c>
      <c r="GK31" s="7"/>
      <c r="GL31" s="7"/>
      <c r="GM31" s="7">
        <v>4</v>
      </c>
      <c r="GN31" s="7">
        <v>4</v>
      </c>
      <c r="GO31" s="7">
        <v>4</v>
      </c>
      <c r="GP31" s="7">
        <v>9</v>
      </c>
      <c r="GQ31" s="7"/>
      <c r="GR31" s="7">
        <v>1</v>
      </c>
      <c r="GS31" s="7">
        <v>1</v>
      </c>
      <c r="GT31" s="7"/>
      <c r="GU31" s="7">
        <v>2</v>
      </c>
      <c r="GV31" s="7"/>
      <c r="GW31" s="7">
        <v>1</v>
      </c>
      <c r="GX31" s="7">
        <v>2</v>
      </c>
      <c r="GY31" s="7">
        <v>1</v>
      </c>
      <c r="GZ31" s="7">
        <v>1</v>
      </c>
      <c r="HA31" s="7"/>
      <c r="HB31" s="7"/>
      <c r="HC31" s="9">
        <v>30</v>
      </c>
      <c r="HD31" s="7"/>
      <c r="HE31" s="7"/>
      <c r="HF31" s="7"/>
      <c r="HG31" s="7">
        <v>1</v>
      </c>
      <c r="HH31" s="7"/>
      <c r="HI31" s="7"/>
      <c r="HJ31" s="7">
        <v>4</v>
      </c>
      <c r="HK31" s="7">
        <v>1</v>
      </c>
      <c r="HL31" s="7">
        <v>2</v>
      </c>
      <c r="HM31" s="7">
        <v>4</v>
      </c>
      <c r="HN31" s="7">
        <v>2</v>
      </c>
      <c r="HO31" s="7"/>
      <c r="HP31" s="7"/>
      <c r="HQ31" s="7">
        <v>2</v>
      </c>
      <c r="HR31" s="7">
        <v>1</v>
      </c>
      <c r="HS31" s="7">
        <v>2</v>
      </c>
      <c r="HT31" s="7">
        <v>3</v>
      </c>
      <c r="HU31" s="7"/>
      <c r="HV31" s="9">
        <v>22</v>
      </c>
      <c r="HW31" s="7">
        <f t="shared" si="0"/>
        <v>693</v>
      </c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</row>
    <row r="32" spans="1:249" x14ac:dyDescent="0.4">
      <c r="A32" t="s">
        <v>43</v>
      </c>
      <c r="B32" t="s">
        <v>27</v>
      </c>
      <c r="C32" s="1"/>
      <c r="D32" s="1"/>
      <c r="E32" s="1">
        <v>12</v>
      </c>
      <c r="F32" s="1">
        <v>23</v>
      </c>
      <c r="G32" s="1">
        <v>15</v>
      </c>
      <c r="H32" s="1">
        <v>125</v>
      </c>
      <c r="I32" s="1">
        <v>5</v>
      </c>
      <c r="J32" s="1">
        <v>12</v>
      </c>
      <c r="K32" s="1">
        <v>59</v>
      </c>
      <c r="L32" s="1">
        <v>7</v>
      </c>
      <c r="M32" s="1">
        <v>11</v>
      </c>
      <c r="N32" s="1">
        <v>25</v>
      </c>
      <c r="O32" s="1">
        <v>30</v>
      </c>
      <c r="P32" s="1">
        <v>3</v>
      </c>
      <c r="Q32" s="1"/>
      <c r="R32" s="1">
        <v>17</v>
      </c>
      <c r="S32" s="1">
        <v>3</v>
      </c>
      <c r="T32" s="1">
        <v>3</v>
      </c>
      <c r="U32" s="9">
        <v>350</v>
      </c>
      <c r="V32" s="1"/>
      <c r="W32" s="1">
        <v>2</v>
      </c>
      <c r="X32" s="1">
        <v>5</v>
      </c>
      <c r="Y32" s="1">
        <v>29</v>
      </c>
      <c r="Z32" s="1">
        <v>11</v>
      </c>
      <c r="AA32" s="1">
        <v>21</v>
      </c>
      <c r="AB32" s="1">
        <v>2</v>
      </c>
      <c r="AC32" s="1">
        <v>11</v>
      </c>
      <c r="AD32" s="1">
        <v>3</v>
      </c>
      <c r="AE32" s="1">
        <v>9</v>
      </c>
      <c r="AF32" s="1">
        <v>28</v>
      </c>
      <c r="AG32" s="1">
        <v>2</v>
      </c>
      <c r="AH32" s="1">
        <v>5</v>
      </c>
      <c r="AI32" s="1"/>
      <c r="AJ32" s="1">
        <v>2</v>
      </c>
      <c r="AK32" s="1">
        <v>2</v>
      </c>
      <c r="AL32" s="1">
        <v>1</v>
      </c>
      <c r="AM32" s="1">
        <v>11</v>
      </c>
      <c r="AN32" s="9">
        <v>144</v>
      </c>
      <c r="AO32" s="1"/>
      <c r="AP32" s="1">
        <v>8</v>
      </c>
      <c r="AQ32" s="1">
        <v>17</v>
      </c>
      <c r="AR32" s="1">
        <v>28</v>
      </c>
      <c r="AS32" s="1">
        <v>32</v>
      </c>
      <c r="AT32" s="1">
        <v>114</v>
      </c>
      <c r="AU32" s="1">
        <v>2</v>
      </c>
      <c r="AV32" s="1">
        <v>20</v>
      </c>
      <c r="AW32" s="1">
        <v>44</v>
      </c>
      <c r="AX32" s="1">
        <v>75</v>
      </c>
      <c r="AY32" s="1">
        <v>4</v>
      </c>
      <c r="AZ32" s="1">
        <v>8</v>
      </c>
      <c r="BA32" s="1">
        <v>14</v>
      </c>
      <c r="BB32" s="1">
        <v>3</v>
      </c>
      <c r="BC32" s="1"/>
      <c r="BD32" s="1">
        <v>18</v>
      </c>
      <c r="BE32" s="1">
        <v>13</v>
      </c>
      <c r="BF32" s="1">
        <v>10</v>
      </c>
      <c r="BG32" s="9">
        <v>410</v>
      </c>
      <c r="BH32" s="1"/>
      <c r="BI32" s="1">
        <v>3</v>
      </c>
      <c r="BJ32" s="1">
        <v>18</v>
      </c>
      <c r="BK32" s="1">
        <v>5</v>
      </c>
      <c r="BL32" s="1">
        <v>7</v>
      </c>
      <c r="BM32" s="1">
        <v>7</v>
      </c>
      <c r="BN32" s="1">
        <v>1</v>
      </c>
      <c r="BO32" s="1">
        <v>26</v>
      </c>
      <c r="BP32" s="1">
        <v>21</v>
      </c>
      <c r="BQ32" s="1">
        <v>26</v>
      </c>
      <c r="BR32" s="1">
        <v>4</v>
      </c>
      <c r="BS32" s="1">
        <v>6</v>
      </c>
      <c r="BT32" s="1">
        <v>3</v>
      </c>
      <c r="BU32" s="1">
        <v>4</v>
      </c>
      <c r="BV32" s="1"/>
      <c r="BW32" s="1">
        <v>50</v>
      </c>
      <c r="BX32" s="1">
        <v>2</v>
      </c>
      <c r="BY32" s="1">
        <v>2</v>
      </c>
      <c r="BZ32" s="9">
        <v>185</v>
      </c>
      <c r="CA32" s="1"/>
      <c r="CB32" s="1">
        <v>2</v>
      </c>
      <c r="CC32" s="1">
        <v>6</v>
      </c>
      <c r="CD32" s="1">
        <v>6</v>
      </c>
      <c r="CE32" s="1">
        <v>10</v>
      </c>
      <c r="CF32" s="1">
        <v>4</v>
      </c>
      <c r="CG32" s="1">
        <v>1</v>
      </c>
      <c r="CH32" s="1">
        <v>1</v>
      </c>
      <c r="CI32" s="1">
        <v>6</v>
      </c>
      <c r="CJ32" s="1">
        <v>12</v>
      </c>
      <c r="CK32" s="1">
        <v>4</v>
      </c>
      <c r="CL32" s="1">
        <v>2</v>
      </c>
      <c r="CM32" s="1">
        <v>4</v>
      </c>
      <c r="CN32" s="1">
        <v>4</v>
      </c>
      <c r="CO32" s="1">
        <v>21</v>
      </c>
      <c r="CP32" s="1">
        <v>12</v>
      </c>
      <c r="CQ32" s="1">
        <v>6</v>
      </c>
      <c r="CR32" s="1"/>
      <c r="CS32" s="9">
        <v>101</v>
      </c>
      <c r="CT32" s="1"/>
      <c r="CU32" s="1">
        <v>34</v>
      </c>
      <c r="CV32" s="1">
        <v>17</v>
      </c>
      <c r="CW32" s="1">
        <v>13</v>
      </c>
      <c r="CX32" s="1">
        <v>13</v>
      </c>
      <c r="CY32" s="1">
        <v>8</v>
      </c>
      <c r="CZ32" s="1">
        <v>10</v>
      </c>
      <c r="DA32" s="1">
        <v>10</v>
      </c>
      <c r="DB32" s="1">
        <v>5</v>
      </c>
      <c r="DC32" s="1">
        <v>4</v>
      </c>
      <c r="DD32" s="1">
        <v>35</v>
      </c>
      <c r="DE32" s="1">
        <v>17</v>
      </c>
      <c r="DF32" s="1">
        <v>1</v>
      </c>
      <c r="DG32" s="1">
        <v>2</v>
      </c>
      <c r="DH32" s="1">
        <v>14</v>
      </c>
      <c r="DI32" s="1">
        <v>44</v>
      </c>
      <c r="DJ32" s="1">
        <v>2</v>
      </c>
      <c r="DK32" s="1"/>
      <c r="DL32" s="9">
        <v>229</v>
      </c>
      <c r="DM32" s="1"/>
      <c r="DN32" s="1">
        <v>9</v>
      </c>
      <c r="DO32" s="1">
        <v>2</v>
      </c>
      <c r="DP32" s="1">
        <v>12</v>
      </c>
      <c r="DQ32" s="1">
        <v>17</v>
      </c>
      <c r="DR32" s="1">
        <v>5</v>
      </c>
      <c r="DS32" s="1">
        <v>1</v>
      </c>
      <c r="DT32" s="1">
        <v>9</v>
      </c>
      <c r="DU32" s="1">
        <v>1</v>
      </c>
      <c r="DV32" s="1">
        <v>2</v>
      </c>
      <c r="DW32" s="1">
        <v>9</v>
      </c>
      <c r="DX32" s="1">
        <v>3</v>
      </c>
      <c r="DY32" s="1">
        <v>1</v>
      </c>
      <c r="DZ32" s="1">
        <v>5</v>
      </c>
      <c r="EA32" s="1">
        <v>2</v>
      </c>
      <c r="EB32" s="1">
        <v>25</v>
      </c>
      <c r="EC32" s="1">
        <v>4</v>
      </c>
      <c r="ED32" s="1">
        <v>1</v>
      </c>
      <c r="EE32" s="9">
        <v>108</v>
      </c>
      <c r="EF32" s="1"/>
      <c r="EG32" s="1"/>
      <c r="EH32" s="1">
        <v>8</v>
      </c>
      <c r="EI32" s="1">
        <v>10</v>
      </c>
      <c r="EJ32" s="1">
        <v>17</v>
      </c>
      <c r="EK32" s="1">
        <v>5</v>
      </c>
      <c r="EL32" s="1"/>
      <c r="EM32" s="1">
        <v>5</v>
      </c>
      <c r="EN32" s="1">
        <v>8</v>
      </c>
      <c r="EO32" s="1">
        <v>5</v>
      </c>
      <c r="EP32" s="1">
        <v>9</v>
      </c>
      <c r="EQ32" s="1">
        <v>1</v>
      </c>
      <c r="ER32" s="1">
        <v>2</v>
      </c>
      <c r="ES32" s="1"/>
      <c r="ET32" s="1"/>
      <c r="EU32" s="1">
        <v>4</v>
      </c>
      <c r="EV32" s="1"/>
      <c r="EW32" s="1"/>
      <c r="EX32" s="9">
        <v>74</v>
      </c>
      <c r="EY32" s="1"/>
      <c r="EZ32" s="1">
        <v>7</v>
      </c>
      <c r="FA32" s="1">
        <v>30</v>
      </c>
      <c r="FB32" s="1">
        <v>6</v>
      </c>
      <c r="FC32" s="1">
        <v>12</v>
      </c>
      <c r="FD32" s="1">
        <v>4</v>
      </c>
      <c r="FE32" s="1">
        <v>1</v>
      </c>
      <c r="FF32" s="1">
        <v>18</v>
      </c>
      <c r="FG32" s="1">
        <v>2</v>
      </c>
      <c r="FH32" s="1">
        <v>7</v>
      </c>
      <c r="FI32" s="1">
        <v>2</v>
      </c>
      <c r="FJ32" s="1">
        <v>41</v>
      </c>
      <c r="FK32" s="1">
        <v>8</v>
      </c>
      <c r="FL32" s="1">
        <v>2</v>
      </c>
      <c r="FM32" s="1">
        <v>3</v>
      </c>
      <c r="FN32" s="1">
        <v>6</v>
      </c>
      <c r="FO32" s="1">
        <v>4</v>
      </c>
      <c r="FP32" s="1">
        <v>20</v>
      </c>
      <c r="FQ32" s="9">
        <v>173</v>
      </c>
      <c r="FR32" s="1"/>
      <c r="FS32" s="1">
        <v>12</v>
      </c>
      <c r="FT32" s="1">
        <v>2</v>
      </c>
      <c r="FU32" s="1">
        <v>8</v>
      </c>
      <c r="FV32" s="1">
        <v>4</v>
      </c>
      <c r="FW32" s="1"/>
      <c r="FX32" s="1"/>
      <c r="FY32" s="1">
        <v>22</v>
      </c>
      <c r="FZ32" s="1">
        <v>1</v>
      </c>
      <c r="GA32" s="1">
        <v>19</v>
      </c>
      <c r="GB32" s="1">
        <v>1</v>
      </c>
      <c r="GC32" s="1"/>
      <c r="GD32" s="1">
        <v>1</v>
      </c>
      <c r="GE32" s="1">
        <v>2</v>
      </c>
      <c r="GF32" s="1"/>
      <c r="GG32" s="1"/>
      <c r="GH32" s="1"/>
      <c r="GI32" s="1"/>
      <c r="GJ32" s="9">
        <v>72</v>
      </c>
      <c r="GK32" s="1"/>
      <c r="GL32" s="1"/>
      <c r="GM32" s="1">
        <v>5</v>
      </c>
      <c r="GN32" s="1">
        <v>7</v>
      </c>
      <c r="GO32" s="1">
        <v>9</v>
      </c>
      <c r="GP32" s="1">
        <v>7</v>
      </c>
      <c r="GQ32" s="1">
        <v>37</v>
      </c>
      <c r="GR32" s="1">
        <v>3</v>
      </c>
      <c r="GS32" s="1">
        <v>5</v>
      </c>
      <c r="GT32" s="1"/>
      <c r="GU32" s="1">
        <v>3</v>
      </c>
      <c r="GV32" s="1">
        <v>8</v>
      </c>
      <c r="GW32" s="1">
        <v>8</v>
      </c>
      <c r="GX32" s="1">
        <v>1</v>
      </c>
      <c r="GY32" s="1">
        <v>2</v>
      </c>
      <c r="GZ32" s="1">
        <v>1</v>
      </c>
      <c r="HA32" s="1"/>
      <c r="HB32" s="1"/>
      <c r="HC32" s="9">
        <v>96</v>
      </c>
      <c r="HD32" s="1"/>
      <c r="HE32" s="1">
        <v>4</v>
      </c>
      <c r="HF32" s="1"/>
      <c r="HG32" s="1">
        <v>13</v>
      </c>
      <c r="HH32" s="1">
        <v>4</v>
      </c>
      <c r="HI32" s="1">
        <v>4</v>
      </c>
      <c r="HJ32" s="1">
        <v>1</v>
      </c>
      <c r="HK32" s="1">
        <v>1</v>
      </c>
      <c r="HL32" s="1">
        <v>8</v>
      </c>
      <c r="HM32" s="1">
        <v>69</v>
      </c>
      <c r="HN32" s="1">
        <v>4</v>
      </c>
      <c r="HO32" s="1">
        <v>3</v>
      </c>
      <c r="HP32" s="1">
        <v>16</v>
      </c>
      <c r="HQ32" s="1">
        <v>1</v>
      </c>
      <c r="HR32" s="1">
        <v>28</v>
      </c>
      <c r="HS32" s="1">
        <v>1</v>
      </c>
      <c r="HT32" s="1">
        <v>8</v>
      </c>
      <c r="HU32" s="1"/>
      <c r="HV32" s="9">
        <v>165</v>
      </c>
      <c r="HW32" s="1">
        <f t="shared" si="0"/>
        <v>2107</v>
      </c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</row>
    <row r="33" spans="1:249" x14ac:dyDescent="0.4">
      <c r="A33" t="s">
        <v>43</v>
      </c>
      <c r="B33" t="s">
        <v>51</v>
      </c>
      <c r="C33" s="1"/>
      <c r="D33" s="1"/>
      <c r="E33" s="1">
        <v>1</v>
      </c>
      <c r="F33" s="1">
        <v>5</v>
      </c>
      <c r="G33" s="1">
        <v>1</v>
      </c>
      <c r="H33" s="1">
        <v>2</v>
      </c>
      <c r="I33" s="1">
        <v>5</v>
      </c>
      <c r="J33" s="1">
        <v>1</v>
      </c>
      <c r="K33" s="1">
        <v>10</v>
      </c>
      <c r="L33" s="1">
        <v>38</v>
      </c>
      <c r="M33" s="1">
        <v>7</v>
      </c>
      <c r="N33" s="1">
        <v>3</v>
      </c>
      <c r="O33" s="1">
        <v>5</v>
      </c>
      <c r="P33" s="1"/>
      <c r="Q33" s="1">
        <v>3</v>
      </c>
      <c r="R33" s="1">
        <v>3</v>
      </c>
      <c r="S33" s="1"/>
      <c r="T33" s="1">
        <v>2</v>
      </c>
      <c r="U33" s="9">
        <v>86</v>
      </c>
      <c r="V33" s="1"/>
      <c r="W33" s="1"/>
      <c r="X33" s="1">
        <v>1</v>
      </c>
      <c r="Y33" s="1">
        <v>4</v>
      </c>
      <c r="Z33" s="1">
        <v>4</v>
      </c>
      <c r="AA33" s="1">
        <v>3</v>
      </c>
      <c r="AB33" s="1">
        <v>2</v>
      </c>
      <c r="AC33" s="1">
        <v>1</v>
      </c>
      <c r="AD33" s="1">
        <v>1</v>
      </c>
      <c r="AE33" s="1"/>
      <c r="AF33" s="1">
        <v>2</v>
      </c>
      <c r="AG33" s="1">
        <v>1</v>
      </c>
      <c r="AH33" s="1">
        <v>5</v>
      </c>
      <c r="AI33" s="1"/>
      <c r="AJ33" s="1">
        <v>1</v>
      </c>
      <c r="AK33" s="1">
        <v>3</v>
      </c>
      <c r="AL33" s="1"/>
      <c r="AM33" s="1">
        <v>1</v>
      </c>
      <c r="AN33" s="9">
        <v>29</v>
      </c>
      <c r="AO33" s="1"/>
      <c r="AP33" s="1"/>
      <c r="AQ33" s="1">
        <v>2</v>
      </c>
      <c r="AR33" s="1">
        <v>4</v>
      </c>
      <c r="AS33" s="1"/>
      <c r="AT33" s="1"/>
      <c r="AU33" s="1"/>
      <c r="AV33" s="1">
        <v>5</v>
      </c>
      <c r="AW33" s="1">
        <v>7</v>
      </c>
      <c r="AX33" s="1">
        <v>11</v>
      </c>
      <c r="AY33" s="1">
        <v>9</v>
      </c>
      <c r="AZ33" s="1">
        <v>2</v>
      </c>
      <c r="BA33" s="1">
        <v>2</v>
      </c>
      <c r="BB33" s="1"/>
      <c r="BC33" s="1">
        <v>2</v>
      </c>
      <c r="BD33" s="1">
        <v>1</v>
      </c>
      <c r="BE33" s="1">
        <v>1</v>
      </c>
      <c r="BF33" s="1">
        <v>24</v>
      </c>
      <c r="BG33" s="9">
        <v>70</v>
      </c>
      <c r="BH33" s="1"/>
      <c r="BI33" s="1"/>
      <c r="BJ33" s="1">
        <v>2</v>
      </c>
      <c r="BK33" s="1">
        <v>3</v>
      </c>
      <c r="BL33" s="1"/>
      <c r="BM33" s="1">
        <v>3</v>
      </c>
      <c r="BN33" s="1"/>
      <c r="BO33" s="1"/>
      <c r="BP33" s="1"/>
      <c r="BQ33" s="1">
        <v>2</v>
      </c>
      <c r="BR33" s="1">
        <v>6</v>
      </c>
      <c r="BS33" s="1">
        <v>13</v>
      </c>
      <c r="BT33" s="1">
        <v>5</v>
      </c>
      <c r="BU33" s="1"/>
      <c r="BV33" s="1">
        <v>4</v>
      </c>
      <c r="BW33" s="1">
        <v>2</v>
      </c>
      <c r="BX33" s="1"/>
      <c r="BY33" s="1"/>
      <c r="BZ33" s="9">
        <v>40</v>
      </c>
      <c r="CA33" s="1"/>
      <c r="CB33" s="1"/>
      <c r="CC33" s="1">
        <v>1</v>
      </c>
      <c r="CD33" s="1">
        <v>1</v>
      </c>
      <c r="CE33" s="1"/>
      <c r="CF33" s="1">
        <v>1</v>
      </c>
      <c r="CG33" s="1">
        <v>2</v>
      </c>
      <c r="CH33" s="1">
        <v>1</v>
      </c>
      <c r="CI33" s="1">
        <v>1</v>
      </c>
      <c r="CJ33" s="1">
        <v>2</v>
      </c>
      <c r="CK33" s="1">
        <v>10</v>
      </c>
      <c r="CL33" s="1">
        <v>3</v>
      </c>
      <c r="CM33" s="1">
        <v>3</v>
      </c>
      <c r="CN33" s="1">
        <v>1</v>
      </c>
      <c r="CO33" s="1">
        <v>1</v>
      </c>
      <c r="CP33" s="1"/>
      <c r="CQ33" s="1"/>
      <c r="CR33" s="1"/>
      <c r="CS33" s="9">
        <v>27</v>
      </c>
      <c r="CT33" s="1"/>
      <c r="CU33" s="1"/>
      <c r="CV33" s="1">
        <v>1</v>
      </c>
      <c r="CW33" s="1"/>
      <c r="CX33" s="1">
        <v>1</v>
      </c>
      <c r="CY33" s="1">
        <v>1</v>
      </c>
      <c r="CZ33" s="1">
        <v>4</v>
      </c>
      <c r="DA33" s="1">
        <v>3</v>
      </c>
      <c r="DB33" s="1">
        <v>1</v>
      </c>
      <c r="DC33" s="1">
        <v>2</v>
      </c>
      <c r="DD33" s="1">
        <v>5</v>
      </c>
      <c r="DE33" s="1">
        <v>3</v>
      </c>
      <c r="DF33" s="1">
        <v>2</v>
      </c>
      <c r="DG33" s="1"/>
      <c r="DH33" s="1">
        <v>6</v>
      </c>
      <c r="DI33" s="1"/>
      <c r="DJ33" s="1">
        <v>1</v>
      </c>
      <c r="DK33" s="1">
        <v>1</v>
      </c>
      <c r="DL33" s="9">
        <v>31</v>
      </c>
      <c r="DM33" s="1"/>
      <c r="DN33" s="1"/>
      <c r="DO33" s="1">
        <v>5</v>
      </c>
      <c r="DP33" s="1">
        <v>2</v>
      </c>
      <c r="DQ33" s="1">
        <v>15</v>
      </c>
      <c r="DR33" s="1"/>
      <c r="DS33" s="1"/>
      <c r="DT33" s="1">
        <v>1</v>
      </c>
      <c r="DU33" s="1">
        <v>2</v>
      </c>
      <c r="DV33" s="1">
        <v>3</v>
      </c>
      <c r="DW33" s="1">
        <v>1</v>
      </c>
      <c r="DX33" s="1">
        <v>12</v>
      </c>
      <c r="DY33" s="1">
        <v>6</v>
      </c>
      <c r="DZ33" s="1"/>
      <c r="EA33" s="1">
        <v>1</v>
      </c>
      <c r="EB33" s="1"/>
      <c r="EC33" s="1"/>
      <c r="ED33" s="1">
        <v>1</v>
      </c>
      <c r="EE33" s="9">
        <v>49</v>
      </c>
      <c r="EF33" s="1"/>
      <c r="EG33" s="1"/>
      <c r="EH33" s="1"/>
      <c r="EI33" s="1">
        <v>2</v>
      </c>
      <c r="EJ33" s="1">
        <v>1</v>
      </c>
      <c r="EK33" s="1"/>
      <c r="EL33" s="1">
        <v>1</v>
      </c>
      <c r="EM33" s="1">
        <v>2</v>
      </c>
      <c r="EN33" s="1">
        <v>2</v>
      </c>
      <c r="EO33" s="1">
        <v>4</v>
      </c>
      <c r="EP33" s="1">
        <v>2</v>
      </c>
      <c r="EQ33" s="1">
        <v>2</v>
      </c>
      <c r="ER33" s="1">
        <v>5</v>
      </c>
      <c r="ES33" s="1"/>
      <c r="ET33" s="1">
        <v>6</v>
      </c>
      <c r="EU33" s="1"/>
      <c r="EV33" s="1"/>
      <c r="EW33" s="1"/>
      <c r="EX33" s="9">
        <v>27</v>
      </c>
      <c r="EY33" s="1"/>
      <c r="EZ33" s="1"/>
      <c r="FA33" s="1">
        <v>1</v>
      </c>
      <c r="FB33" s="1">
        <v>9</v>
      </c>
      <c r="FC33" s="1">
        <v>6</v>
      </c>
      <c r="FD33" s="1"/>
      <c r="FE33" s="1">
        <v>4</v>
      </c>
      <c r="FF33" s="1">
        <v>4</v>
      </c>
      <c r="FG33" s="1">
        <v>13</v>
      </c>
      <c r="FH33" s="1">
        <v>3</v>
      </c>
      <c r="FI33" s="1">
        <v>2</v>
      </c>
      <c r="FJ33" s="1"/>
      <c r="FK33" s="1">
        <v>4</v>
      </c>
      <c r="FL33" s="1"/>
      <c r="FM33" s="1"/>
      <c r="FN33" s="1">
        <v>2</v>
      </c>
      <c r="FO33" s="1"/>
      <c r="FP33" s="1"/>
      <c r="FQ33" s="9">
        <v>48</v>
      </c>
      <c r="FR33" s="1"/>
      <c r="FS33" s="1"/>
      <c r="FT33" s="1">
        <v>2</v>
      </c>
      <c r="FU33" s="1">
        <v>32</v>
      </c>
      <c r="FV33" s="1">
        <v>17</v>
      </c>
      <c r="FW33" s="1"/>
      <c r="FX33" s="1"/>
      <c r="FY33" s="1"/>
      <c r="FZ33" s="1"/>
      <c r="GA33" s="1"/>
      <c r="GB33" s="1">
        <v>3</v>
      </c>
      <c r="GC33" s="1">
        <v>4</v>
      </c>
      <c r="GD33" s="1">
        <v>1</v>
      </c>
      <c r="GE33" s="1"/>
      <c r="GF33" s="1">
        <v>7</v>
      </c>
      <c r="GG33" s="1"/>
      <c r="GH33" s="1"/>
      <c r="GI33" s="1"/>
      <c r="GJ33" s="9">
        <v>66</v>
      </c>
      <c r="GK33" s="1"/>
      <c r="GL33" s="1"/>
      <c r="GM33" s="1">
        <v>2</v>
      </c>
      <c r="GN33" s="1">
        <v>5</v>
      </c>
      <c r="GO33" s="1">
        <v>2</v>
      </c>
      <c r="GP33" s="1"/>
      <c r="GQ33" s="1">
        <v>1</v>
      </c>
      <c r="GR33" s="1"/>
      <c r="GS33" s="1">
        <v>1</v>
      </c>
      <c r="GT33" s="1">
        <v>7</v>
      </c>
      <c r="GU33" s="1">
        <v>5</v>
      </c>
      <c r="GV33" s="1">
        <v>1</v>
      </c>
      <c r="GW33" s="1">
        <v>3</v>
      </c>
      <c r="GX33" s="1"/>
      <c r="GY33" s="1">
        <v>4</v>
      </c>
      <c r="GZ33" s="1">
        <v>2</v>
      </c>
      <c r="HA33" s="1"/>
      <c r="HB33" s="1">
        <v>2</v>
      </c>
      <c r="HC33" s="9">
        <v>35</v>
      </c>
      <c r="HD33" s="1"/>
      <c r="HE33" s="1"/>
      <c r="HF33" s="1"/>
      <c r="HG33" s="1">
        <v>1</v>
      </c>
      <c r="HH33" s="1">
        <v>1</v>
      </c>
      <c r="HI33" s="1">
        <v>2</v>
      </c>
      <c r="HJ33" s="1">
        <v>4</v>
      </c>
      <c r="HK33" s="1"/>
      <c r="HL33" s="1">
        <v>2</v>
      </c>
      <c r="HM33" s="1">
        <v>7</v>
      </c>
      <c r="HN33" s="1"/>
      <c r="HO33" s="1"/>
      <c r="HP33" s="1">
        <v>1</v>
      </c>
      <c r="HQ33" s="1"/>
      <c r="HR33" s="1">
        <v>4</v>
      </c>
      <c r="HS33" s="1">
        <v>2</v>
      </c>
      <c r="HT33" s="1"/>
      <c r="HU33" s="1"/>
      <c r="HV33" s="9">
        <v>24</v>
      </c>
      <c r="HW33" s="1">
        <f t="shared" si="0"/>
        <v>532</v>
      </c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</row>
    <row r="34" spans="1:249" x14ac:dyDescent="0.4">
      <c r="A34" t="s">
        <v>43</v>
      </c>
      <c r="B34" t="s">
        <v>28</v>
      </c>
      <c r="C34" s="1"/>
      <c r="D34" s="1"/>
      <c r="E34" s="1">
        <v>9</v>
      </c>
      <c r="F34" s="1">
        <v>12</v>
      </c>
      <c r="G34" s="1">
        <v>4</v>
      </c>
      <c r="H34" s="1">
        <v>18</v>
      </c>
      <c r="I34" s="1">
        <v>13</v>
      </c>
      <c r="J34" s="1">
        <v>18</v>
      </c>
      <c r="K34" s="1">
        <v>22</v>
      </c>
      <c r="L34" s="1">
        <v>42</v>
      </c>
      <c r="M34" s="1">
        <v>6</v>
      </c>
      <c r="N34" s="1">
        <v>17</v>
      </c>
      <c r="O34" s="1">
        <v>9</v>
      </c>
      <c r="P34" s="1">
        <v>4</v>
      </c>
      <c r="Q34" s="1">
        <v>16</v>
      </c>
      <c r="R34" s="1">
        <v>4</v>
      </c>
      <c r="S34" s="1">
        <v>3</v>
      </c>
      <c r="T34" s="1">
        <v>5</v>
      </c>
      <c r="U34" s="9">
        <v>202</v>
      </c>
      <c r="V34" s="1"/>
      <c r="W34" s="1"/>
      <c r="X34" s="1">
        <v>23</v>
      </c>
      <c r="Y34" s="1">
        <v>6</v>
      </c>
      <c r="Z34" s="1">
        <v>7</v>
      </c>
      <c r="AA34" s="1">
        <v>2</v>
      </c>
      <c r="AB34" s="1">
        <v>2</v>
      </c>
      <c r="AC34" s="1">
        <v>7</v>
      </c>
      <c r="AD34" s="1">
        <v>6</v>
      </c>
      <c r="AE34" s="1">
        <v>5</v>
      </c>
      <c r="AF34" s="1">
        <v>12</v>
      </c>
      <c r="AG34" s="1">
        <v>29</v>
      </c>
      <c r="AH34" s="1">
        <v>60</v>
      </c>
      <c r="AI34" s="1">
        <v>7</v>
      </c>
      <c r="AJ34" s="1">
        <v>28</v>
      </c>
      <c r="AK34" s="1">
        <v>4</v>
      </c>
      <c r="AL34" s="1">
        <v>4</v>
      </c>
      <c r="AM34" s="1">
        <v>2</v>
      </c>
      <c r="AN34" s="9">
        <v>204</v>
      </c>
      <c r="AO34" s="1"/>
      <c r="AP34" s="1"/>
      <c r="AQ34" s="1">
        <v>22</v>
      </c>
      <c r="AR34" s="1">
        <v>23</v>
      </c>
      <c r="AS34" s="1">
        <v>16</v>
      </c>
      <c r="AT34" s="1">
        <v>4</v>
      </c>
      <c r="AU34" s="1">
        <v>16</v>
      </c>
      <c r="AV34" s="1">
        <v>34</v>
      </c>
      <c r="AW34" s="1">
        <v>40</v>
      </c>
      <c r="AX34" s="1">
        <v>19</v>
      </c>
      <c r="AY34" s="1">
        <v>6</v>
      </c>
      <c r="AZ34" s="1">
        <v>9</v>
      </c>
      <c r="BA34" s="1">
        <v>42</v>
      </c>
      <c r="BB34" s="1">
        <v>2</v>
      </c>
      <c r="BC34" s="1">
        <v>8</v>
      </c>
      <c r="BD34" s="1">
        <v>3</v>
      </c>
      <c r="BE34" s="1">
        <v>8</v>
      </c>
      <c r="BF34" s="1">
        <v>7</v>
      </c>
      <c r="BG34" s="9">
        <v>259</v>
      </c>
      <c r="BH34" s="1"/>
      <c r="BI34" s="1"/>
      <c r="BJ34" s="1">
        <v>4</v>
      </c>
      <c r="BK34" s="1">
        <v>64</v>
      </c>
      <c r="BL34" s="1">
        <v>27</v>
      </c>
      <c r="BM34" s="1">
        <v>2</v>
      </c>
      <c r="BN34" s="1">
        <v>5</v>
      </c>
      <c r="BO34" s="1">
        <v>2</v>
      </c>
      <c r="BP34" s="1">
        <v>3</v>
      </c>
      <c r="BQ34" s="1">
        <v>39</v>
      </c>
      <c r="BR34" s="1">
        <v>7</v>
      </c>
      <c r="BS34" s="1">
        <v>2</v>
      </c>
      <c r="BT34" s="1">
        <v>23</v>
      </c>
      <c r="BU34" s="1">
        <v>4</v>
      </c>
      <c r="BV34" s="1">
        <v>27</v>
      </c>
      <c r="BW34" s="1">
        <v>10</v>
      </c>
      <c r="BX34" s="1"/>
      <c r="BY34" s="1">
        <v>11</v>
      </c>
      <c r="BZ34" s="9">
        <v>230</v>
      </c>
      <c r="CA34" s="1"/>
      <c r="CB34" s="1"/>
      <c r="CC34" s="1">
        <v>6</v>
      </c>
      <c r="CD34" s="1">
        <v>26</v>
      </c>
      <c r="CE34" s="1">
        <v>41</v>
      </c>
      <c r="CF34" s="1">
        <v>1</v>
      </c>
      <c r="CG34" s="1"/>
      <c r="CH34" s="1">
        <v>36</v>
      </c>
      <c r="CI34" s="1">
        <v>1</v>
      </c>
      <c r="CJ34" s="1">
        <v>6</v>
      </c>
      <c r="CK34" s="1">
        <v>6</v>
      </c>
      <c r="CL34" s="1">
        <v>4</v>
      </c>
      <c r="CM34" s="1">
        <v>67</v>
      </c>
      <c r="CN34" s="1">
        <v>1</v>
      </c>
      <c r="CO34" s="1">
        <v>25</v>
      </c>
      <c r="CP34" s="1">
        <v>20</v>
      </c>
      <c r="CQ34" s="1">
        <v>7</v>
      </c>
      <c r="CR34" s="1">
        <v>1</v>
      </c>
      <c r="CS34" s="9">
        <v>248</v>
      </c>
      <c r="CT34" s="1"/>
      <c r="CU34" s="1"/>
      <c r="CV34" s="1">
        <v>2</v>
      </c>
      <c r="CW34" s="1">
        <v>12</v>
      </c>
      <c r="CX34" s="1">
        <v>16</v>
      </c>
      <c r="CY34" s="1">
        <v>1</v>
      </c>
      <c r="CZ34" s="1">
        <v>34</v>
      </c>
      <c r="DA34" s="1">
        <v>26</v>
      </c>
      <c r="DB34" s="1">
        <v>6</v>
      </c>
      <c r="DC34" s="1">
        <v>6</v>
      </c>
      <c r="DD34" s="1">
        <v>36</v>
      </c>
      <c r="DE34" s="1">
        <v>41</v>
      </c>
      <c r="DF34" s="1">
        <v>35</v>
      </c>
      <c r="DG34" s="1">
        <v>8</v>
      </c>
      <c r="DH34" s="1">
        <v>28</v>
      </c>
      <c r="DI34" s="1">
        <v>11</v>
      </c>
      <c r="DJ34" s="1">
        <v>2</v>
      </c>
      <c r="DK34" s="1">
        <v>2</v>
      </c>
      <c r="DL34" s="9">
        <v>266</v>
      </c>
      <c r="DM34" s="1"/>
      <c r="DN34" s="1"/>
      <c r="DO34" s="1">
        <v>11</v>
      </c>
      <c r="DP34" s="1">
        <v>22</v>
      </c>
      <c r="DQ34" s="1">
        <v>18</v>
      </c>
      <c r="DR34" s="1"/>
      <c r="DS34" s="1">
        <v>10</v>
      </c>
      <c r="DT34" s="1">
        <v>21</v>
      </c>
      <c r="DU34" s="1">
        <v>15</v>
      </c>
      <c r="DV34" s="1">
        <v>59</v>
      </c>
      <c r="DW34" s="1">
        <v>60</v>
      </c>
      <c r="DX34" s="1">
        <v>9</v>
      </c>
      <c r="DY34" s="1">
        <v>15</v>
      </c>
      <c r="DZ34" s="1">
        <v>2</v>
      </c>
      <c r="EA34" s="1">
        <v>17</v>
      </c>
      <c r="EB34" s="1">
        <v>5</v>
      </c>
      <c r="EC34" s="1">
        <v>2</v>
      </c>
      <c r="ED34" s="1">
        <v>5</v>
      </c>
      <c r="EE34" s="9">
        <v>271</v>
      </c>
      <c r="EF34" s="1"/>
      <c r="EG34" s="1"/>
      <c r="EH34" s="1">
        <v>4</v>
      </c>
      <c r="EI34" s="1">
        <v>12</v>
      </c>
      <c r="EJ34" s="1">
        <v>22</v>
      </c>
      <c r="EK34" s="1"/>
      <c r="EL34" s="1">
        <v>30</v>
      </c>
      <c r="EM34" s="1">
        <v>29</v>
      </c>
      <c r="EN34" s="1">
        <v>3</v>
      </c>
      <c r="EO34" s="1">
        <v>2</v>
      </c>
      <c r="EP34" s="1">
        <v>29</v>
      </c>
      <c r="EQ34" s="1">
        <v>2</v>
      </c>
      <c r="ER34" s="1">
        <v>37</v>
      </c>
      <c r="ES34" s="1">
        <v>9</v>
      </c>
      <c r="ET34" s="1">
        <v>6</v>
      </c>
      <c r="EU34" s="1">
        <v>1</v>
      </c>
      <c r="EV34" s="1"/>
      <c r="EW34" s="1">
        <v>7</v>
      </c>
      <c r="EX34" s="9">
        <v>193</v>
      </c>
      <c r="EY34" s="1"/>
      <c r="EZ34" s="1"/>
      <c r="FA34" s="1">
        <v>1</v>
      </c>
      <c r="FB34" s="1">
        <v>11</v>
      </c>
      <c r="FC34" s="1">
        <v>15</v>
      </c>
      <c r="FD34" s="1"/>
      <c r="FE34" s="1">
        <v>12</v>
      </c>
      <c r="FF34" s="1">
        <v>30</v>
      </c>
      <c r="FG34" s="1">
        <v>12</v>
      </c>
      <c r="FH34" s="1">
        <v>3</v>
      </c>
      <c r="FI34" s="1">
        <v>6</v>
      </c>
      <c r="FJ34" s="1">
        <v>28</v>
      </c>
      <c r="FK34" s="1">
        <v>18</v>
      </c>
      <c r="FL34" s="1">
        <v>5</v>
      </c>
      <c r="FM34" s="1">
        <v>2</v>
      </c>
      <c r="FN34" s="1">
        <v>7</v>
      </c>
      <c r="FO34" s="1">
        <v>8</v>
      </c>
      <c r="FP34" s="1">
        <v>5</v>
      </c>
      <c r="FQ34" s="9">
        <v>163</v>
      </c>
      <c r="FR34" s="1"/>
      <c r="FS34" s="1"/>
      <c r="FT34" s="1">
        <v>4</v>
      </c>
      <c r="FU34" s="1">
        <v>71</v>
      </c>
      <c r="FV34" s="1">
        <v>7</v>
      </c>
      <c r="FW34" s="1"/>
      <c r="FX34" s="1">
        <v>4</v>
      </c>
      <c r="FY34" s="1">
        <v>26</v>
      </c>
      <c r="FZ34" s="1">
        <v>25</v>
      </c>
      <c r="GA34" s="1">
        <v>2</v>
      </c>
      <c r="GB34" s="1">
        <v>32</v>
      </c>
      <c r="GC34" s="1">
        <v>37</v>
      </c>
      <c r="GD34" s="1">
        <v>42</v>
      </c>
      <c r="GE34" s="1">
        <v>9</v>
      </c>
      <c r="GF34" s="1">
        <v>18</v>
      </c>
      <c r="GG34" s="1"/>
      <c r="GH34" s="1">
        <v>3</v>
      </c>
      <c r="GI34" s="1">
        <v>1</v>
      </c>
      <c r="GJ34" s="9">
        <v>281</v>
      </c>
      <c r="GK34" s="1"/>
      <c r="GL34" s="1"/>
      <c r="GM34" s="1">
        <v>20</v>
      </c>
      <c r="GN34" s="1">
        <v>55</v>
      </c>
      <c r="GO34" s="1">
        <v>28</v>
      </c>
      <c r="GP34" s="1"/>
      <c r="GQ34" s="1">
        <v>19</v>
      </c>
      <c r="GR34" s="1">
        <v>2</v>
      </c>
      <c r="GS34" s="1">
        <v>5</v>
      </c>
      <c r="GT34" s="1"/>
      <c r="GU34" s="1">
        <v>4</v>
      </c>
      <c r="GV34" s="1">
        <v>18</v>
      </c>
      <c r="GW34" s="1">
        <v>96</v>
      </c>
      <c r="GX34" s="1">
        <v>1</v>
      </c>
      <c r="GY34" s="1">
        <v>44</v>
      </c>
      <c r="GZ34" s="1">
        <v>25</v>
      </c>
      <c r="HA34" s="1">
        <v>6</v>
      </c>
      <c r="HB34" s="1">
        <v>1</v>
      </c>
      <c r="HC34" s="9">
        <v>324</v>
      </c>
      <c r="HD34" s="1"/>
      <c r="HE34" s="1"/>
      <c r="HF34" s="1">
        <v>4</v>
      </c>
      <c r="HG34" s="1">
        <v>41</v>
      </c>
      <c r="HH34" s="1">
        <v>16</v>
      </c>
      <c r="HI34" s="1">
        <v>1</v>
      </c>
      <c r="HJ34" s="1">
        <v>18</v>
      </c>
      <c r="HK34" s="1">
        <v>1</v>
      </c>
      <c r="HL34" s="1">
        <v>22</v>
      </c>
      <c r="HM34" s="1">
        <v>1</v>
      </c>
      <c r="HN34" s="1">
        <v>14</v>
      </c>
      <c r="HO34" s="1">
        <v>6</v>
      </c>
      <c r="HP34" s="1">
        <v>14</v>
      </c>
      <c r="HQ34" s="1">
        <v>9</v>
      </c>
      <c r="HR34" s="1">
        <v>11</v>
      </c>
      <c r="HS34" s="1">
        <v>6</v>
      </c>
      <c r="HT34" s="1"/>
      <c r="HU34" s="1">
        <v>30</v>
      </c>
      <c r="HV34" s="9">
        <v>194</v>
      </c>
      <c r="HW34" s="1">
        <f t="shared" si="0"/>
        <v>2835</v>
      </c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</row>
    <row r="35" spans="1:249" s="6" customFormat="1" x14ac:dyDescent="0.4">
      <c r="A35" s="6" t="s">
        <v>43</v>
      </c>
      <c r="B35" s="6" t="s">
        <v>13</v>
      </c>
      <c r="C35" s="7"/>
      <c r="D35" s="7"/>
      <c r="E35" s="7">
        <v>5</v>
      </c>
      <c r="F35" s="7">
        <v>22</v>
      </c>
      <c r="G35" s="7">
        <v>5</v>
      </c>
      <c r="H35" s="7">
        <v>6</v>
      </c>
      <c r="I35" s="7">
        <v>1</v>
      </c>
      <c r="J35" s="7">
        <v>51</v>
      </c>
      <c r="K35" s="7">
        <v>61</v>
      </c>
      <c r="L35" s="7">
        <v>1</v>
      </c>
      <c r="M35" s="7">
        <v>2</v>
      </c>
      <c r="N35" s="7"/>
      <c r="O35" s="7"/>
      <c r="P35" s="7">
        <v>4</v>
      </c>
      <c r="Q35" s="7">
        <v>52</v>
      </c>
      <c r="R35" s="7"/>
      <c r="S35" s="7"/>
      <c r="T35" s="7"/>
      <c r="U35" s="9">
        <v>210</v>
      </c>
      <c r="V35" s="7"/>
      <c r="W35" s="7"/>
      <c r="X35" s="7">
        <v>6</v>
      </c>
      <c r="Y35" s="7">
        <v>10</v>
      </c>
      <c r="Z35" s="7">
        <v>3</v>
      </c>
      <c r="AA35" s="7">
        <v>4</v>
      </c>
      <c r="AB35" s="7">
        <v>1</v>
      </c>
      <c r="AC35" s="7">
        <v>19</v>
      </c>
      <c r="AD35" s="7">
        <v>10</v>
      </c>
      <c r="AE35" s="7"/>
      <c r="AF35" s="7">
        <v>4</v>
      </c>
      <c r="AG35" s="7"/>
      <c r="AH35" s="7">
        <v>2</v>
      </c>
      <c r="AI35" s="7">
        <v>6</v>
      </c>
      <c r="AJ35" s="7"/>
      <c r="AK35" s="7"/>
      <c r="AL35" s="7"/>
      <c r="AM35" s="7"/>
      <c r="AN35" s="9">
        <v>65</v>
      </c>
      <c r="AO35" s="7"/>
      <c r="AP35" s="7"/>
      <c r="AQ35" s="7">
        <v>4</v>
      </c>
      <c r="AR35" s="7">
        <v>12</v>
      </c>
      <c r="AS35" s="7">
        <v>3</v>
      </c>
      <c r="AT35" s="7">
        <v>6</v>
      </c>
      <c r="AU35" s="7">
        <v>1</v>
      </c>
      <c r="AV35" s="7">
        <v>3</v>
      </c>
      <c r="AW35" s="7">
        <v>31</v>
      </c>
      <c r="AX35" s="7">
        <v>3</v>
      </c>
      <c r="AY35" s="7">
        <v>36</v>
      </c>
      <c r="AZ35" s="7"/>
      <c r="BA35" s="7"/>
      <c r="BB35" s="7">
        <v>14</v>
      </c>
      <c r="BC35" s="7">
        <v>24</v>
      </c>
      <c r="BD35" s="7">
        <v>4</v>
      </c>
      <c r="BE35" s="7"/>
      <c r="BF35" s="7"/>
      <c r="BG35" s="9">
        <v>141</v>
      </c>
      <c r="BH35" s="7"/>
      <c r="BI35" s="7"/>
      <c r="BJ35" s="7">
        <v>8</v>
      </c>
      <c r="BK35" s="7">
        <v>9</v>
      </c>
      <c r="BL35" s="7"/>
      <c r="BM35" s="7">
        <v>17</v>
      </c>
      <c r="BN35" s="7"/>
      <c r="BO35" s="7">
        <v>20</v>
      </c>
      <c r="BP35" s="7">
        <v>52</v>
      </c>
      <c r="BQ35" s="7"/>
      <c r="BR35" s="7">
        <v>4</v>
      </c>
      <c r="BS35" s="7">
        <v>2</v>
      </c>
      <c r="BT35" s="7">
        <v>1</v>
      </c>
      <c r="BU35" s="7"/>
      <c r="BV35" s="7">
        <v>1</v>
      </c>
      <c r="BW35" s="7"/>
      <c r="BX35" s="7"/>
      <c r="BY35" s="7"/>
      <c r="BZ35" s="9">
        <v>114</v>
      </c>
      <c r="CA35" s="7"/>
      <c r="CB35" s="7"/>
      <c r="CC35" s="7">
        <v>40</v>
      </c>
      <c r="CD35" s="7">
        <v>15</v>
      </c>
      <c r="CE35" s="7">
        <v>1</v>
      </c>
      <c r="CF35" s="7">
        <v>3</v>
      </c>
      <c r="CG35" s="7"/>
      <c r="CH35" s="7">
        <v>3</v>
      </c>
      <c r="CI35" s="7">
        <v>16</v>
      </c>
      <c r="CJ35" s="7">
        <v>22</v>
      </c>
      <c r="CK35" s="7">
        <v>1</v>
      </c>
      <c r="CL35" s="7"/>
      <c r="CM35" s="7"/>
      <c r="CN35" s="7"/>
      <c r="CO35" s="7"/>
      <c r="CP35" s="7">
        <v>1</v>
      </c>
      <c r="CQ35" s="7"/>
      <c r="CR35" s="7"/>
      <c r="CS35" s="9">
        <v>102</v>
      </c>
      <c r="CT35" s="7"/>
      <c r="CU35" s="7"/>
      <c r="CV35" s="7">
        <v>5</v>
      </c>
      <c r="CW35" s="7">
        <v>13</v>
      </c>
      <c r="CX35" s="7"/>
      <c r="CY35" s="7">
        <v>5</v>
      </c>
      <c r="CZ35" s="7">
        <v>3</v>
      </c>
      <c r="DA35" s="7">
        <v>13</v>
      </c>
      <c r="DB35" s="7"/>
      <c r="DC35" s="7">
        <v>27</v>
      </c>
      <c r="DD35" s="7"/>
      <c r="DE35" s="7"/>
      <c r="DF35" s="7"/>
      <c r="DG35" s="7">
        <v>2</v>
      </c>
      <c r="DH35" s="7"/>
      <c r="DI35" s="7"/>
      <c r="DJ35" s="7"/>
      <c r="DK35" s="7">
        <v>1</v>
      </c>
      <c r="DL35" s="9">
        <v>69</v>
      </c>
      <c r="DM35" s="7"/>
      <c r="DN35" s="7"/>
      <c r="DO35" s="7">
        <v>7</v>
      </c>
      <c r="DP35" s="7">
        <v>22</v>
      </c>
      <c r="DQ35" s="7">
        <v>17</v>
      </c>
      <c r="DR35" s="7">
        <v>5</v>
      </c>
      <c r="DS35" s="7"/>
      <c r="DT35" s="7">
        <v>2</v>
      </c>
      <c r="DU35" s="7">
        <v>2</v>
      </c>
      <c r="DV35" s="7">
        <v>1</v>
      </c>
      <c r="DW35" s="7">
        <v>10</v>
      </c>
      <c r="DX35" s="7">
        <v>18</v>
      </c>
      <c r="DY35" s="7"/>
      <c r="DZ35" s="7">
        <v>1</v>
      </c>
      <c r="EA35" s="7">
        <v>1</v>
      </c>
      <c r="EB35" s="7"/>
      <c r="EC35" s="7"/>
      <c r="ED35" s="7"/>
      <c r="EE35" s="9">
        <v>86</v>
      </c>
      <c r="EF35" s="7"/>
      <c r="EG35" s="7"/>
      <c r="EH35" s="7">
        <v>3</v>
      </c>
      <c r="EI35" s="7">
        <v>19</v>
      </c>
      <c r="EJ35" s="7">
        <v>4</v>
      </c>
      <c r="EK35" s="7">
        <v>10</v>
      </c>
      <c r="EL35" s="7">
        <v>30</v>
      </c>
      <c r="EM35" s="7">
        <v>6</v>
      </c>
      <c r="EN35" s="7">
        <v>39</v>
      </c>
      <c r="EO35" s="7"/>
      <c r="EP35" s="7">
        <v>9</v>
      </c>
      <c r="EQ35" s="7"/>
      <c r="ER35" s="7"/>
      <c r="ES35" s="7"/>
      <c r="ET35" s="7">
        <v>1</v>
      </c>
      <c r="EU35" s="7"/>
      <c r="EV35" s="7"/>
      <c r="EW35" s="7">
        <v>1</v>
      </c>
      <c r="EX35" s="9">
        <v>122</v>
      </c>
      <c r="EY35" s="7"/>
      <c r="EZ35" s="7"/>
      <c r="FA35" s="7">
        <v>4</v>
      </c>
      <c r="FB35" s="7">
        <v>11</v>
      </c>
      <c r="FC35" s="7"/>
      <c r="FD35" s="7">
        <v>5</v>
      </c>
      <c r="FE35" s="7">
        <v>2</v>
      </c>
      <c r="FF35" s="7"/>
      <c r="FG35" s="7">
        <v>32</v>
      </c>
      <c r="FH35" s="7">
        <v>1</v>
      </c>
      <c r="FI35" s="7">
        <v>6</v>
      </c>
      <c r="FJ35" s="7"/>
      <c r="FK35" s="7"/>
      <c r="FL35" s="7"/>
      <c r="FM35" s="7">
        <v>1</v>
      </c>
      <c r="FN35" s="7"/>
      <c r="FO35" s="7"/>
      <c r="FP35" s="7"/>
      <c r="FQ35" s="9">
        <v>62</v>
      </c>
      <c r="FR35" s="7"/>
      <c r="FS35" s="7"/>
      <c r="FT35" s="7">
        <v>3</v>
      </c>
      <c r="FU35" s="7">
        <v>4</v>
      </c>
      <c r="FV35" s="7">
        <v>2</v>
      </c>
      <c r="FW35" s="7">
        <v>6</v>
      </c>
      <c r="FX35" s="7">
        <v>30</v>
      </c>
      <c r="FY35" s="7"/>
      <c r="FZ35" s="7">
        <v>12</v>
      </c>
      <c r="GA35" s="7"/>
      <c r="GB35" s="7">
        <v>4</v>
      </c>
      <c r="GC35" s="7">
        <v>6</v>
      </c>
      <c r="GD35" s="7">
        <v>1</v>
      </c>
      <c r="GE35" s="7">
        <v>12</v>
      </c>
      <c r="GF35" s="7"/>
      <c r="GG35" s="7">
        <v>1</v>
      </c>
      <c r="GH35" s="7"/>
      <c r="GI35" s="7"/>
      <c r="GJ35" s="9">
        <v>81</v>
      </c>
      <c r="GK35" s="7"/>
      <c r="GL35" s="7"/>
      <c r="GM35" s="7"/>
      <c r="GN35" s="7">
        <v>8</v>
      </c>
      <c r="GO35" s="7">
        <v>1</v>
      </c>
      <c r="GP35" s="7"/>
      <c r="GQ35" s="7"/>
      <c r="GR35" s="7"/>
      <c r="GS35" s="7">
        <v>13</v>
      </c>
      <c r="GT35" s="7"/>
      <c r="GU35" s="7">
        <v>1</v>
      </c>
      <c r="GV35" s="7">
        <v>4</v>
      </c>
      <c r="GW35" s="7">
        <v>2</v>
      </c>
      <c r="GX35" s="7">
        <v>2</v>
      </c>
      <c r="GY35" s="7"/>
      <c r="GZ35" s="7"/>
      <c r="HA35" s="7"/>
      <c r="HB35" s="7"/>
      <c r="HC35" s="9">
        <v>31</v>
      </c>
      <c r="HD35" s="7"/>
      <c r="HE35" s="7"/>
      <c r="HF35" s="7">
        <v>2</v>
      </c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>
        <v>1</v>
      </c>
      <c r="HR35" s="7"/>
      <c r="HS35" s="7"/>
      <c r="HT35" s="7"/>
      <c r="HU35" s="7"/>
      <c r="HV35" s="9">
        <v>3</v>
      </c>
      <c r="HW35" s="7">
        <f t="shared" si="0"/>
        <v>1086</v>
      </c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</row>
    <row r="36" spans="1:249" x14ac:dyDescent="0.4">
      <c r="A36" t="s">
        <v>43</v>
      </c>
      <c r="B36" t="s">
        <v>21</v>
      </c>
      <c r="C36" s="1"/>
      <c r="D36" s="1">
        <v>4</v>
      </c>
      <c r="E36" s="1">
        <v>5</v>
      </c>
      <c r="F36" s="1">
        <v>91</v>
      </c>
      <c r="G36" s="1">
        <v>11</v>
      </c>
      <c r="H36" s="1">
        <v>21</v>
      </c>
      <c r="I36" s="1">
        <v>10</v>
      </c>
      <c r="J36" s="1">
        <v>60</v>
      </c>
      <c r="K36" s="1">
        <v>26</v>
      </c>
      <c r="L36" s="1">
        <v>92</v>
      </c>
      <c r="M36" s="1">
        <v>7</v>
      </c>
      <c r="N36" s="1">
        <v>5</v>
      </c>
      <c r="O36" s="1">
        <v>21</v>
      </c>
      <c r="P36" s="1">
        <v>4</v>
      </c>
      <c r="Q36" s="1">
        <v>35</v>
      </c>
      <c r="R36" s="1">
        <v>19</v>
      </c>
      <c r="S36" s="1">
        <v>7</v>
      </c>
      <c r="T36" s="1">
        <v>6</v>
      </c>
      <c r="U36" s="9">
        <v>424</v>
      </c>
      <c r="V36" s="1"/>
      <c r="W36" s="1">
        <v>10</v>
      </c>
      <c r="X36" s="1">
        <v>37</v>
      </c>
      <c r="Y36" s="1">
        <v>9</v>
      </c>
      <c r="Z36" s="1">
        <v>39</v>
      </c>
      <c r="AA36" s="1">
        <v>18</v>
      </c>
      <c r="AB36" s="1">
        <v>1</v>
      </c>
      <c r="AC36" s="1">
        <v>11</v>
      </c>
      <c r="AD36" s="1">
        <v>11</v>
      </c>
      <c r="AE36" s="1">
        <v>53</v>
      </c>
      <c r="AF36" s="1">
        <v>16</v>
      </c>
      <c r="AG36" s="1"/>
      <c r="AH36" s="1">
        <v>17</v>
      </c>
      <c r="AI36" s="1">
        <v>9</v>
      </c>
      <c r="AJ36" s="1"/>
      <c r="AK36" s="1">
        <v>18</v>
      </c>
      <c r="AL36" s="1">
        <v>13</v>
      </c>
      <c r="AM36" s="1">
        <v>9</v>
      </c>
      <c r="AN36" s="9">
        <v>271</v>
      </c>
      <c r="AO36" s="1"/>
      <c r="AP36" s="1">
        <v>20</v>
      </c>
      <c r="AQ36" s="1">
        <v>6</v>
      </c>
      <c r="AR36" s="1">
        <v>7</v>
      </c>
      <c r="AS36" s="1">
        <v>7</v>
      </c>
      <c r="AT36" s="1">
        <v>7</v>
      </c>
      <c r="AU36" s="1">
        <v>36</v>
      </c>
      <c r="AV36" s="1">
        <v>4</v>
      </c>
      <c r="AW36" s="1">
        <v>54</v>
      </c>
      <c r="AX36" s="1">
        <v>61</v>
      </c>
      <c r="AY36" s="1">
        <v>33</v>
      </c>
      <c r="AZ36" s="1">
        <v>4</v>
      </c>
      <c r="BA36" s="1">
        <v>10</v>
      </c>
      <c r="BB36" s="1"/>
      <c r="BC36" s="1">
        <v>4</v>
      </c>
      <c r="BD36" s="1"/>
      <c r="BE36" s="1">
        <v>7</v>
      </c>
      <c r="BF36" s="1">
        <v>7</v>
      </c>
      <c r="BG36" s="9">
        <v>267</v>
      </c>
      <c r="BH36" s="1"/>
      <c r="BI36" s="1">
        <v>4</v>
      </c>
      <c r="BJ36" s="1">
        <v>12</v>
      </c>
      <c r="BK36" s="1">
        <v>2</v>
      </c>
      <c r="BL36" s="1">
        <v>5</v>
      </c>
      <c r="BM36" s="1">
        <v>35</v>
      </c>
      <c r="BN36" s="1"/>
      <c r="BO36" s="1">
        <v>2</v>
      </c>
      <c r="BP36" s="1">
        <v>3</v>
      </c>
      <c r="BQ36" s="1">
        <v>46</v>
      </c>
      <c r="BR36" s="1">
        <v>36</v>
      </c>
      <c r="BS36" s="1">
        <v>69</v>
      </c>
      <c r="BT36" s="1">
        <v>6</v>
      </c>
      <c r="BU36" s="1">
        <v>13</v>
      </c>
      <c r="BV36" s="1">
        <v>6</v>
      </c>
      <c r="BW36" s="1"/>
      <c r="BX36" s="1">
        <v>2</v>
      </c>
      <c r="BY36" s="1">
        <v>4</v>
      </c>
      <c r="BZ36" s="9">
        <v>245</v>
      </c>
      <c r="CA36" s="1"/>
      <c r="CB36" s="1">
        <v>2</v>
      </c>
      <c r="CC36" s="1">
        <v>7</v>
      </c>
      <c r="CD36" s="1">
        <v>9</v>
      </c>
      <c r="CE36" s="1"/>
      <c r="CF36" s="1">
        <v>9</v>
      </c>
      <c r="CG36" s="1"/>
      <c r="CH36" s="1">
        <v>4</v>
      </c>
      <c r="CI36" s="1">
        <v>16</v>
      </c>
      <c r="CJ36" s="1">
        <v>3</v>
      </c>
      <c r="CK36" s="1">
        <v>3</v>
      </c>
      <c r="CL36" s="1">
        <v>15</v>
      </c>
      <c r="CM36" s="1">
        <v>1</v>
      </c>
      <c r="CN36" s="1">
        <v>4</v>
      </c>
      <c r="CO36" s="1">
        <v>3</v>
      </c>
      <c r="CP36" s="1">
        <v>1</v>
      </c>
      <c r="CQ36" s="1">
        <v>6</v>
      </c>
      <c r="CR36" s="1">
        <v>3</v>
      </c>
      <c r="CS36" s="9">
        <v>86</v>
      </c>
      <c r="CT36" s="1"/>
      <c r="CU36" s="1">
        <v>48</v>
      </c>
      <c r="CV36" s="1">
        <v>8</v>
      </c>
      <c r="CW36" s="1">
        <v>11</v>
      </c>
      <c r="CX36" s="1">
        <v>11</v>
      </c>
      <c r="CY36" s="1">
        <v>29</v>
      </c>
      <c r="CZ36" s="1"/>
      <c r="DA36" s="1">
        <v>2</v>
      </c>
      <c r="DB36" s="1"/>
      <c r="DC36" s="1">
        <v>59</v>
      </c>
      <c r="DD36" s="1">
        <v>10</v>
      </c>
      <c r="DE36" s="1">
        <v>47</v>
      </c>
      <c r="DF36" s="1">
        <v>11</v>
      </c>
      <c r="DG36" s="1"/>
      <c r="DH36" s="1">
        <v>104</v>
      </c>
      <c r="DI36" s="1">
        <v>11</v>
      </c>
      <c r="DJ36" s="1">
        <v>4</v>
      </c>
      <c r="DK36" s="1">
        <v>3</v>
      </c>
      <c r="DL36" s="9">
        <v>358</v>
      </c>
      <c r="DM36" s="1"/>
      <c r="DN36" s="1">
        <v>10</v>
      </c>
      <c r="DO36" s="1">
        <v>13</v>
      </c>
      <c r="DP36" s="1">
        <v>2</v>
      </c>
      <c r="DQ36" s="1">
        <v>3</v>
      </c>
      <c r="DR36" s="1">
        <v>21</v>
      </c>
      <c r="DS36" s="1"/>
      <c r="DT36" s="1">
        <v>1</v>
      </c>
      <c r="DU36" s="1">
        <v>29</v>
      </c>
      <c r="DV36" s="1">
        <v>27</v>
      </c>
      <c r="DW36" s="1">
        <v>4</v>
      </c>
      <c r="DX36" s="1">
        <v>6</v>
      </c>
      <c r="DY36" s="1">
        <v>6</v>
      </c>
      <c r="DZ36" s="1">
        <v>2</v>
      </c>
      <c r="EA36" s="1">
        <v>4</v>
      </c>
      <c r="EB36" s="1">
        <v>21</v>
      </c>
      <c r="EC36" s="1">
        <v>6</v>
      </c>
      <c r="ED36" s="1">
        <v>9</v>
      </c>
      <c r="EE36" s="9">
        <v>164</v>
      </c>
      <c r="EF36" s="1"/>
      <c r="EG36" s="1">
        <v>2</v>
      </c>
      <c r="EH36" s="1">
        <v>11</v>
      </c>
      <c r="EI36" s="1">
        <v>31</v>
      </c>
      <c r="EJ36" s="1">
        <v>13</v>
      </c>
      <c r="EK36" s="1">
        <v>42</v>
      </c>
      <c r="EL36" s="1">
        <v>1</v>
      </c>
      <c r="EM36" s="1"/>
      <c r="EN36" s="1">
        <v>8</v>
      </c>
      <c r="EO36" s="1">
        <v>12</v>
      </c>
      <c r="EP36" s="1">
        <v>16</v>
      </c>
      <c r="EQ36" s="1">
        <v>5</v>
      </c>
      <c r="ER36" s="1">
        <v>1</v>
      </c>
      <c r="ES36" s="1">
        <v>26</v>
      </c>
      <c r="ET36" s="1">
        <v>11</v>
      </c>
      <c r="EU36" s="1"/>
      <c r="EV36" s="1">
        <v>15</v>
      </c>
      <c r="EW36" s="1">
        <v>52</v>
      </c>
      <c r="EX36" s="9">
        <v>246</v>
      </c>
      <c r="EY36" s="1"/>
      <c r="EZ36" s="1">
        <v>4</v>
      </c>
      <c r="FA36" s="1">
        <v>20</v>
      </c>
      <c r="FB36" s="1">
        <v>30</v>
      </c>
      <c r="FC36" s="1">
        <v>5</v>
      </c>
      <c r="FD36" s="1">
        <v>22</v>
      </c>
      <c r="FE36" s="1">
        <v>1</v>
      </c>
      <c r="FF36" s="1">
        <v>12</v>
      </c>
      <c r="FG36" s="1">
        <v>49</v>
      </c>
      <c r="FH36" s="1">
        <v>24</v>
      </c>
      <c r="FI36" s="1">
        <v>38</v>
      </c>
      <c r="FJ36" s="1">
        <v>10</v>
      </c>
      <c r="FK36" s="1">
        <v>59</v>
      </c>
      <c r="FL36" s="1">
        <v>8</v>
      </c>
      <c r="FM36" s="1">
        <v>20</v>
      </c>
      <c r="FN36" s="1">
        <v>9</v>
      </c>
      <c r="FO36" s="1">
        <v>6</v>
      </c>
      <c r="FP36" s="1">
        <v>17</v>
      </c>
      <c r="FQ36" s="9">
        <v>334</v>
      </c>
      <c r="FR36" s="1"/>
      <c r="FS36" s="1">
        <v>8</v>
      </c>
      <c r="FT36" s="1">
        <v>11</v>
      </c>
      <c r="FU36" s="1">
        <v>14</v>
      </c>
      <c r="FV36" s="1">
        <v>5</v>
      </c>
      <c r="FW36" s="1"/>
      <c r="FX36" s="1">
        <v>1</v>
      </c>
      <c r="FY36" s="1"/>
      <c r="FZ36" s="1">
        <v>24</v>
      </c>
      <c r="GA36" s="1">
        <v>7</v>
      </c>
      <c r="GB36" s="1">
        <v>16</v>
      </c>
      <c r="GC36" s="1">
        <v>2</v>
      </c>
      <c r="GD36" s="1">
        <v>82</v>
      </c>
      <c r="GE36" s="1">
        <v>2</v>
      </c>
      <c r="GF36" s="1">
        <v>8</v>
      </c>
      <c r="GG36" s="1">
        <v>2</v>
      </c>
      <c r="GH36" s="1">
        <v>1</v>
      </c>
      <c r="GI36" s="1">
        <v>19</v>
      </c>
      <c r="GJ36" s="9">
        <v>202</v>
      </c>
      <c r="GK36" s="1"/>
      <c r="GL36" s="1">
        <v>12</v>
      </c>
      <c r="GM36" s="1">
        <v>14</v>
      </c>
      <c r="GN36" s="1">
        <v>5</v>
      </c>
      <c r="GO36" s="1">
        <v>2</v>
      </c>
      <c r="GP36" s="1">
        <v>33</v>
      </c>
      <c r="GQ36" s="1">
        <v>2</v>
      </c>
      <c r="GR36" s="1"/>
      <c r="GS36" s="1">
        <v>3</v>
      </c>
      <c r="GT36" s="1">
        <v>5</v>
      </c>
      <c r="GU36" s="1">
        <v>7</v>
      </c>
      <c r="GV36" s="1">
        <v>5</v>
      </c>
      <c r="GW36" s="1">
        <v>4</v>
      </c>
      <c r="GX36" s="1"/>
      <c r="GY36" s="1"/>
      <c r="GZ36" s="1"/>
      <c r="HA36" s="1">
        <v>4</v>
      </c>
      <c r="HB36" s="1">
        <v>3</v>
      </c>
      <c r="HC36" s="9">
        <v>99</v>
      </c>
      <c r="HD36" s="1"/>
      <c r="HE36" s="1"/>
      <c r="HF36" s="1">
        <v>8</v>
      </c>
      <c r="HG36" s="1">
        <v>2</v>
      </c>
      <c r="HH36" s="1">
        <v>2</v>
      </c>
      <c r="HI36" s="1">
        <v>6</v>
      </c>
      <c r="HJ36" s="1"/>
      <c r="HK36" s="1">
        <v>1</v>
      </c>
      <c r="HL36" s="1">
        <v>18</v>
      </c>
      <c r="HM36" s="1">
        <v>1</v>
      </c>
      <c r="HN36" s="1">
        <v>1</v>
      </c>
      <c r="HO36" s="1">
        <v>2</v>
      </c>
      <c r="HP36" s="1">
        <v>1</v>
      </c>
      <c r="HQ36" s="1"/>
      <c r="HR36" s="1"/>
      <c r="HS36" s="1">
        <v>1</v>
      </c>
      <c r="HT36" s="1"/>
      <c r="HU36" s="1">
        <v>6</v>
      </c>
      <c r="HV36" s="9">
        <v>49</v>
      </c>
      <c r="HW36" s="1">
        <f t="shared" si="0"/>
        <v>2745</v>
      </c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</row>
    <row r="37" spans="1:249" x14ac:dyDescent="0.4">
      <c r="A37" t="s">
        <v>43</v>
      </c>
      <c r="B37" t="s">
        <v>14</v>
      </c>
      <c r="C37" s="1"/>
      <c r="D37" s="1"/>
      <c r="E37" s="1">
        <v>4</v>
      </c>
      <c r="F37" s="1"/>
      <c r="G37" s="1"/>
      <c r="H37" s="1">
        <v>4</v>
      </c>
      <c r="I37" s="1">
        <v>2</v>
      </c>
      <c r="J37" s="1"/>
      <c r="K37" s="1">
        <v>3</v>
      </c>
      <c r="L37" s="1">
        <v>2</v>
      </c>
      <c r="M37" s="1">
        <v>1</v>
      </c>
      <c r="N37" s="1"/>
      <c r="O37" s="1">
        <v>5</v>
      </c>
      <c r="P37" s="1">
        <v>1</v>
      </c>
      <c r="Q37" s="1">
        <v>5</v>
      </c>
      <c r="R37" s="1">
        <v>1</v>
      </c>
      <c r="S37" s="1"/>
      <c r="T37" s="1"/>
      <c r="U37" s="9">
        <v>28</v>
      </c>
      <c r="V37" s="1"/>
      <c r="W37" s="1"/>
      <c r="X37" s="1">
        <v>4</v>
      </c>
      <c r="Y37" s="1">
        <v>1</v>
      </c>
      <c r="Z37" s="1">
        <v>3</v>
      </c>
      <c r="AA37" s="1">
        <v>3</v>
      </c>
      <c r="AB37" s="1">
        <v>4</v>
      </c>
      <c r="AC37" s="1">
        <v>1</v>
      </c>
      <c r="AD37" s="1">
        <v>6</v>
      </c>
      <c r="AE37" s="1"/>
      <c r="AF37" s="1"/>
      <c r="AG37" s="1"/>
      <c r="AH37" s="1">
        <v>4</v>
      </c>
      <c r="AI37" s="1"/>
      <c r="AJ37" s="1"/>
      <c r="AK37" s="1"/>
      <c r="AL37" s="1"/>
      <c r="AM37" s="1">
        <v>3</v>
      </c>
      <c r="AN37" s="9">
        <v>29</v>
      </c>
      <c r="AO37" s="1"/>
      <c r="AP37" s="1"/>
      <c r="AQ37" s="1">
        <v>3</v>
      </c>
      <c r="AR37" s="1"/>
      <c r="AS37" s="1">
        <v>1</v>
      </c>
      <c r="AT37" s="1">
        <v>9</v>
      </c>
      <c r="AU37" s="1">
        <v>2</v>
      </c>
      <c r="AV37" s="1">
        <v>3</v>
      </c>
      <c r="AW37" s="1"/>
      <c r="AX37" s="1"/>
      <c r="AY37" s="1">
        <v>3</v>
      </c>
      <c r="AZ37" s="1">
        <v>3</v>
      </c>
      <c r="BA37" s="1">
        <v>4</v>
      </c>
      <c r="BB37" s="1"/>
      <c r="BC37" s="1">
        <v>1</v>
      </c>
      <c r="BD37" s="1"/>
      <c r="BE37" s="1"/>
      <c r="BF37" s="1"/>
      <c r="BG37" s="9">
        <v>29</v>
      </c>
      <c r="BH37" s="1"/>
      <c r="BI37" s="1"/>
      <c r="BJ37" s="1">
        <v>3</v>
      </c>
      <c r="BK37" s="1"/>
      <c r="BL37" s="1"/>
      <c r="BM37" s="1"/>
      <c r="BN37" s="1">
        <v>7</v>
      </c>
      <c r="BO37" s="1"/>
      <c r="BP37" s="1"/>
      <c r="BQ37" s="1"/>
      <c r="BR37" s="1"/>
      <c r="BS37" s="1"/>
      <c r="BT37" s="1">
        <v>3</v>
      </c>
      <c r="BU37" s="1"/>
      <c r="BV37" s="1">
        <v>1</v>
      </c>
      <c r="BW37" s="1"/>
      <c r="BX37" s="1"/>
      <c r="BY37" s="1"/>
      <c r="BZ37" s="9">
        <v>14</v>
      </c>
      <c r="CA37" s="1"/>
      <c r="CB37" s="1"/>
      <c r="CC37" s="1">
        <v>7</v>
      </c>
      <c r="CD37" s="1"/>
      <c r="CE37" s="1">
        <v>2</v>
      </c>
      <c r="CF37" s="1"/>
      <c r="CG37" s="1">
        <v>1</v>
      </c>
      <c r="CH37" s="1">
        <v>1</v>
      </c>
      <c r="CI37" s="1">
        <v>2</v>
      </c>
      <c r="CJ37" s="1"/>
      <c r="CK37" s="1">
        <v>3</v>
      </c>
      <c r="CL37" s="1">
        <v>1</v>
      </c>
      <c r="CM37" s="1"/>
      <c r="CN37" s="1"/>
      <c r="CO37" s="1"/>
      <c r="CP37" s="1">
        <v>1</v>
      </c>
      <c r="CQ37" s="1"/>
      <c r="CR37" s="1"/>
      <c r="CS37" s="9">
        <v>18</v>
      </c>
      <c r="CT37" s="1"/>
      <c r="CU37" s="1"/>
      <c r="CV37" s="1">
        <v>10</v>
      </c>
      <c r="CW37" s="1">
        <v>3</v>
      </c>
      <c r="CX37" s="1"/>
      <c r="CY37" s="1">
        <v>2</v>
      </c>
      <c r="CZ37" s="1"/>
      <c r="DA37" s="1"/>
      <c r="DB37" s="1">
        <v>1</v>
      </c>
      <c r="DC37" s="1">
        <v>1</v>
      </c>
      <c r="DD37" s="1"/>
      <c r="DE37" s="1">
        <v>4</v>
      </c>
      <c r="DF37" s="1">
        <v>4</v>
      </c>
      <c r="DG37" s="1"/>
      <c r="DH37" s="1">
        <v>1</v>
      </c>
      <c r="DI37" s="1"/>
      <c r="DJ37" s="1"/>
      <c r="DK37" s="1"/>
      <c r="DL37" s="9">
        <v>26</v>
      </c>
      <c r="DM37" s="1"/>
      <c r="DN37" s="1"/>
      <c r="DO37" s="1">
        <v>2</v>
      </c>
      <c r="DP37" s="1"/>
      <c r="DQ37" s="1">
        <v>2</v>
      </c>
      <c r="DR37" s="1"/>
      <c r="DS37" s="1">
        <v>1</v>
      </c>
      <c r="DT37" s="1">
        <v>2</v>
      </c>
      <c r="DU37" s="1">
        <v>2</v>
      </c>
      <c r="DV37" s="1">
        <v>1</v>
      </c>
      <c r="DW37" s="1"/>
      <c r="DX37" s="1"/>
      <c r="DY37" s="1"/>
      <c r="DZ37" s="1"/>
      <c r="EA37" s="1"/>
      <c r="EB37" s="1"/>
      <c r="EC37" s="1"/>
      <c r="ED37" s="1">
        <v>1</v>
      </c>
      <c r="EE37" s="9">
        <v>11</v>
      </c>
      <c r="EF37" s="1"/>
      <c r="EG37" s="1"/>
      <c r="EH37" s="1">
        <v>2</v>
      </c>
      <c r="EI37" s="1"/>
      <c r="EJ37" s="1">
        <v>1</v>
      </c>
      <c r="EK37" s="1">
        <v>1</v>
      </c>
      <c r="EL37" s="1">
        <v>1</v>
      </c>
      <c r="EM37" s="1"/>
      <c r="EN37" s="1">
        <v>1</v>
      </c>
      <c r="EO37" s="1"/>
      <c r="EP37" s="1">
        <v>1</v>
      </c>
      <c r="EQ37" s="1"/>
      <c r="ER37" s="1">
        <v>2</v>
      </c>
      <c r="ES37" s="1"/>
      <c r="ET37" s="1">
        <v>1</v>
      </c>
      <c r="EU37" s="1"/>
      <c r="EV37" s="1">
        <v>2</v>
      </c>
      <c r="EW37" s="1">
        <v>1</v>
      </c>
      <c r="EX37" s="9">
        <v>13</v>
      </c>
      <c r="EY37" s="1"/>
      <c r="EZ37" s="1"/>
      <c r="FA37" s="1"/>
      <c r="FB37" s="1"/>
      <c r="FC37" s="1">
        <v>1</v>
      </c>
      <c r="FD37" s="1">
        <v>3</v>
      </c>
      <c r="FE37" s="1">
        <v>2</v>
      </c>
      <c r="FF37" s="1">
        <v>17</v>
      </c>
      <c r="FG37" s="1">
        <v>1</v>
      </c>
      <c r="FH37" s="1">
        <v>2</v>
      </c>
      <c r="FI37" s="1"/>
      <c r="FJ37" s="1"/>
      <c r="FK37" s="1">
        <v>3</v>
      </c>
      <c r="FL37" s="1">
        <v>1</v>
      </c>
      <c r="FM37" s="1"/>
      <c r="FN37" s="1"/>
      <c r="FO37" s="1"/>
      <c r="FP37" s="1">
        <v>1</v>
      </c>
      <c r="FQ37" s="9">
        <v>31</v>
      </c>
      <c r="FR37" s="1"/>
      <c r="FS37" s="1"/>
      <c r="FT37" s="1"/>
      <c r="FU37" s="1">
        <v>1</v>
      </c>
      <c r="FV37" s="1"/>
      <c r="FW37" s="1"/>
      <c r="FX37" s="1"/>
      <c r="FY37" s="1"/>
      <c r="FZ37" s="1">
        <v>1</v>
      </c>
      <c r="GA37" s="1"/>
      <c r="GB37" s="1">
        <v>2</v>
      </c>
      <c r="GC37" s="1"/>
      <c r="GD37" s="1">
        <v>7</v>
      </c>
      <c r="GE37" s="1"/>
      <c r="GF37" s="1"/>
      <c r="GG37" s="1"/>
      <c r="GH37" s="1"/>
      <c r="GI37" s="1"/>
      <c r="GJ37" s="9">
        <v>11</v>
      </c>
      <c r="GK37" s="1"/>
      <c r="GL37" s="1"/>
      <c r="GM37" s="1"/>
      <c r="GN37" s="1"/>
      <c r="GO37" s="1"/>
      <c r="GP37" s="1"/>
      <c r="GQ37" s="1">
        <v>1</v>
      </c>
      <c r="GR37" s="1"/>
      <c r="GS37" s="1"/>
      <c r="GT37" s="1"/>
      <c r="GU37" s="1"/>
      <c r="GV37" s="1"/>
      <c r="GW37" s="1">
        <v>5</v>
      </c>
      <c r="GX37" s="1"/>
      <c r="GY37" s="1">
        <v>2</v>
      </c>
      <c r="GZ37" s="1"/>
      <c r="HA37" s="1"/>
      <c r="HB37" s="1"/>
      <c r="HC37" s="9">
        <v>8</v>
      </c>
      <c r="HD37" s="1"/>
      <c r="HE37" s="1"/>
      <c r="HF37" s="1"/>
      <c r="HG37" s="1">
        <v>1</v>
      </c>
      <c r="HH37" s="1"/>
      <c r="HI37" s="1"/>
      <c r="HJ37" s="1"/>
      <c r="HK37" s="1"/>
      <c r="HL37" s="1"/>
      <c r="HM37" s="1"/>
      <c r="HN37" s="1"/>
      <c r="HO37" s="1">
        <v>2</v>
      </c>
      <c r="HP37" s="1">
        <v>1</v>
      </c>
      <c r="HQ37" s="1"/>
      <c r="HR37" s="1"/>
      <c r="HS37" s="1"/>
      <c r="HT37" s="1"/>
      <c r="HU37" s="1"/>
      <c r="HV37" s="9">
        <v>4</v>
      </c>
      <c r="HW37" s="1">
        <f t="shared" si="0"/>
        <v>222</v>
      </c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</row>
    <row r="38" spans="1:249" x14ac:dyDescent="0.4">
      <c r="A38" t="s">
        <v>43</v>
      </c>
      <c r="B38" t="s">
        <v>22</v>
      </c>
      <c r="C38" s="1"/>
      <c r="D38" s="1"/>
      <c r="E38" s="1">
        <v>57</v>
      </c>
      <c r="F38" s="1">
        <v>132</v>
      </c>
      <c r="G38" s="1">
        <v>28</v>
      </c>
      <c r="H38" s="1"/>
      <c r="I38" s="1">
        <v>64</v>
      </c>
      <c r="J38" s="1">
        <v>65</v>
      </c>
      <c r="K38" s="1">
        <v>39</v>
      </c>
      <c r="L38" s="1">
        <v>24</v>
      </c>
      <c r="M38" s="1">
        <v>169</v>
      </c>
      <c r="N38" s="1">
        <v>13</v>
      </c>
      <c r="O38" s="1">
        <v>55</v>
      </c>
      <c r="P38" s="1">
        <v>6</v>
      </c>
      <c r="Q38" s="1">
        <v>46</v>
      </c>
      <c r="R38" s="1">
        <v>15</v>
      </c>
      <c r="S38" s="1">
        <v>19</v>
      </c>
      <c r="T38" s="1">
        <v>67</v>
      </c>
      <c r="U38" s="9">
        <v>799</v>
      </c>
      <c r="V38" s="1"/>
      <c r="W38" s="1"/>
      <c r="X38" s="1">
        <v>7</v>
      </c>
      <c r="Y38" s="1">
        <v>123</v>
      </c>
      <c r="Z38" s="1">
        <v>25</v>
      </c>
      <c r="AA38" s="1"/>
      <c r="AB38" s="1">
        <v>20</v>
      </c>
      <c r="AC38" s="1">
        <v>29</v>
      </c>
      <c r="AD38" s="1">
        <v>100</v>
      </c>
      <c r="AE38" s="1">
        <v>17</v>
      </c>
      <c r="AF38" s="1">
        <v>58</v>
      </c>
      <c r="AG38" s="1">
        <v>52</v>
      </c>
      <c r="AH38" s="1">
        <v>99</v>
      </c>
      <c r="AI38" s="1">
        <v>5</v>
      </c>
      <c r="AJ38" s="1">
        <v>200</v>
      </c>
      <c r="AK38" s="1">
        <v>2</v>
      </c>
      <c r="AL38" s="1">
        <v>1</v>
      </c>
      <c r="AM38" s="1">
        <v>49</v>
      </c>
      <c r="AN38" s="9">
        <v>787</v>
      </c>
      <c r="AO38" s="1"/>
      <c r="AP38" s="1"/>
      <c r="AQ38" s="1">
        <v>19</v>
      </c>
      <c r="AR38" s="1">
        <v>75</v>
      </c>
      <c r="AS38" s="1">
        <v>54</v>
      </c>
      <c r="AT38" s="1">
        <v>4</v>
      </c>
      <c r="AU38" s="1">
        <v>56</v>
      </c>
      <c r="AV38" s="1">
        <v>48</v>
      </c>
      <c r="AW38" s="1">
        <v>58</v>
      </c>
      <c r="AX38" s="1">
        <v>9</v>
      </c>
      <c r="AY38" s="1">
        <v>114</v>
      </c>
      <c r="AZ38" s="1">
        <v>21</v>
      </c>
      <c r="BA38" s="1">
        <v>72</v>
      </c>
      <c r="BB38" s="1">
        <v>5</v>
      </c>
      <c r="BC38" s="1">
        <v>25</v>
      </c>
      <c r="BD38" s="1">
        <v>40</v>
      </c>
      <c r="BE38" s="1">
        <v>3</v>
      </c>
      <c r="BF38" s="1">
        <v>50</v>
      </c>
      <c r="BG38" s="9">
        <v>653</v>
      </c>
      <c r="BH38" s="1"/>
      <c r="BI38" s="1"/>
      <c r="BJ38" s="1">
        <v>14</v>
      </c>
      <c r="BK38" s="1">
        <v>99</v>
      </c>
      <c r="BL38" s="1">
        <v>62</v>
      </c>
      <c r="BM38" s="1">
        <v>2</v>
      </c>
      <c r="BN38" s="1">
        <v>5</v>
      </c>
      <c r="BO38" s="1">
        <v>18</v>
      </c>
      <c r="BP38" s="1">
        <v>86</v>
      </c>
      <c r="BQ38" s="1">
        <v>15</v>
      </c>
      <c r="BR38" s="1">
        <v>13</v>
      </c>
      <c r="BS38" s="1">
        <v>40</v>
      </c>
      <c r="BT38" s="1">
        <v>181</v>
      </c>
      <c r="BU38" s="1">
        <v>9</v>
      </c>
      <c r="BV38" s="1">
        <v>20</v>
      </c>
      <c r="BW38" s="1">
        <v>22</v>
      </c>
      <c r="BX38" s="1">
        <v>3</v>
      </c>
      <c r="BY38" s="1">
        <v>12</v>
      </c>
      <c r="BZ38" s="9">
        <v>601</v>
      </c>
      <c r="CA38" s="1"/>
      <c r="CB38" s="1"/>
      <c r="CC38" s="1">
        <v>18</v>
      </c>
      <c r="CD38" s="1">
        <v>26</v>
      </c>
      <c r="CE38" s="1">
        <v>54</v>
      </c>
      <c r="CF38" s="1"/>
      <c r="CG38" s="1">
        <v>5</v>
      </c>
      <c r="CH38" s="1">
        <v>40</v>
      </c>
      <c r="CI38" s="1">
        <v>29</v>
      </c>
      <c r="CJ38" s="1">
        <v>2</v>
      </c>
      <c r="CK38" s="1">
        <v>45</v>
      </c>
      <c r="CL38" s="1">
        <v>56</v>
      </c>
      <c r="CM38" s="1">
        <v>190</v>
      </c>
      <c r="CN38" s="1">
        <v>16</v>
      </c>
      <c r="CO38" s="1">
        <v>44</v>
      </c>
      <c r="CP38" s="1">
        <v>66</v>
      </c>
      <c r="CQ38" s="1">
        <v>1</v>
      </c>
      <c r="CR38" s="1">
        <v>24</v>
      </c>
      <c r="CS38" s="9">
        <v>616</v>
      </c>
      <c r="CT38" s="1"/>
      <c r="CU38" s="1"/>
      <c r="CV38" s="1">
        <v>13</v>
      </c>
      <c r="CW38" s="1">
        <v>141</v>
      </c>
      <c r="CX38" s="1">
        <v>53</v>
      </c>
      <c r="CY38" s="1">
        <v>4</v>
      </c>
      <c r="CZ38" s="1">
        <v>33</v>
      </c>
      <c r="DA38" s="1">
        <v>15</v>
      </c>
      <c r="DB38" s="1">
        <v>157</v>
      </c>
      <c r="DC38" s="1">
        <v>15</v>
      </c>
      <c r="DD38" s="1">
        <v>14</v>
      </c>
      <c r="DE38" s="1">
        <v>20</v>
      </c>
      <c r="DF38" s="1">
        <v>119</v>
      </c>
      <c r="DG38" s="1">
        <v>20</v>
      </c>
      <c r="DH38" s="1">
        <v>41</v>
      </c>
      <c r="DI38" s="1">
        <v>3</v>
      </c>
      <c r="DJ38" s="1">
        <v>24</v>
      </c>
      <c r="DK38" s="1">
        <v>43</v>
      </c>
      <c r="DL38" s="9">
        <v>715</v>
      </c>
      <c r="DM38" s="1"/>
      <c r="DN38" s="1"/>
      <c r="DO38" s="1">
        <v>21</v>
      </c>
      <c r="DP38" s="1">
        <v>65</v>
      </c>
      <c r="DQ38" s="1">
        <v>88</v>
      </c>
      <c r="DR38" s="1"/>
      <c r="DS38" s="1">
        <v>17</v>
      </c>
      <c r="DT38" s="1">
        <v>47</v>
      </c>
      <c r="DU38" s="1">
        <v>94</v>
      </c>
      <c r="DV38" s="1">
        <v>72</v>
      </c>
      <c r="DW38" s="1">
        <v>51</v>
      </c>
      <c r="DX38" s="1">
        <v>108</v>
      </c>
      <c r="DY38" s="1">
        <v>40</v>
      </c>
      <c r="DZ38" s="1">
        <v>34</v>
      </c>
      <c r="EA38" s="1">
        <v>95</v>
      </c>
      <c r="EB38" s="1">
        <v>2</v>
      </c>
      <c r="EC38" s="1">
        <v>2</v>
      </c>
      <c r="ED38" s="1">
        <v>16</v>
      </c>
      <c r="EE38" s="9">
        <v>752</v>
      </c>
      <c r="EF38" s="1"/>
      <c r="EG38" s="1"/>
      <c r="EH38" s="1">
        <v>14</v>
      </c>
      <c r="EI38" s="1">
        <v>64</v>
      </c>
      <c r="EJ38" s="1">
        <v>53</v>
      </c>
      <c r="EK38" s="1">
        <v>1</v>
      </c>
      <c r="EL38" s="1">
        <v>2</v>
      </c>
      <c r="EM38" s="1">
        <v>27</v>
      </c>
      <c r="EN38" s="1">
        <v>34</v>
      </c>
      <c r="EO38" s="1">
        <v>3</v>
      </c>
      <c r="EP38" s="1">
        <v>14</v>
      </c>
      <c r="EQ38" s="1">
        <v>48</v>
      </c>
      <c r="ER38" s="1">
        <v>83</v>
      </c>
      <c r="ES38" s="1">
        <v>4</v>
      </c>
      <c r="ET38" s="1">
        <v>68</v>
      </c>
      <c r="EU38" s="1">
        <v>26</v>
      </c>
      <c r="EV38" s="1"/>
      <c r="EW38" s="1">
        <v>3</v>
      </c>
      <c r="EX38" s="9">
        <v>444</v>
      </c>
      <c r="EY38" s="1"/>
      <c r="EZ38" s="1"/>
      <c r="FA38" s="1">
        <v>23</v>
      </c>
      <c r="FB38" s="1">
        <v>54</v>
      </c>
      <c r="FC38" s="1">
        <v>142</v>
      </c>
      <c r="FD38" s="1"/>
      <c r="FE38" s="1">
        <v>9</v>
      </c>
      <c r="FF38" s="1">
        <v>38</v>
      </c>
      <c r="FG38" s="1">
        <v>32</v>
      </c>
      <c r="FH38" s="1">
        <v>10</v>
      </c>
      <c r="FI38" s="1">
        <v>4</v>
      </c>
      <c r="FJ38" s="1">
        <v>4</v>
      </c>
      <c r="FK38" s="1">
        <v>37</v>
      </c>
      <c r="FL38" s="1">
        <v>9</v>
      </c>
      <c r="FM38" s="1">
        <v>2</v>
      </c>
      <c r="FN38" s="1">
        <v>4</v>
      </c>
      <c r="FO38" s="1"/>
      <c r="FP38" s="1">
        <v>9</v>
      </c>
      <c r="FQ38" s="9">
        <v>377</v>
      </c>
      <c r="FR38" s="1"/>
      <c r="FS38" s="1"/>
      <c r="FT38" s="1">
        <v>5</v>
      </c>
      <c r="FU38" s="1">
        <v>52</v>
      </c>
      <c r="FV38" s="1">
        <v>14</v>
      </c>
      <c r="FW38" s="1"/>
      <c r="FX38" s="1">
        <v>3</v>
      </c>
      <c r="FY38" s="1">
        <v>20</v>
      </c>
      <c r="FZ38" s="1">
        <v>44</v>
      </c>
      <c r="GA38" s="1">
        <v>31</v>
      </c>
      <c r="GB38" s="1">
        <v>25</v>
      </c>
      <c r="GC38" s="1">
        <v>75</v>
      </c>
      <c r="GD38" s="1">
        <v>28</v>
      </c>
      <c r="GE38" s="1">
        <v>5</v>
      </c>
      <c r="GF38" s="1">
        <v>12</v>
      </c>
      <c r="GG38" s="1">
        <v>2</v>
      </c>
      <c r="GH38" s="1">
        <v>4</v>
      </c>
      <c r="GI38" s="1">
        <v>6</v>
      </c>
      <c r="GJ38" s="9">
        <v>326</v>
      </c>
      <c r="GK38" s="1"/>
      <c r="GL38" s="1"/>
      <c r="GM38" s="1">
        <v>11</v>
      </c>
      <c r="GN38" s="1">
        <v>100</v>
      </c>
      <c r="GO38" s="1">
        <v>56</v>
      </c>
      <c r="GP38" s="1"/>
      <c r="GQ38" s="1">
        <v>3</v>
      </c>
      <c r="GR38" s="1">
        <v>10</v>
      </c>
      <c r="GS38" s="1">
        <v>69</v>
      </c>
      <c r="GT38" s="1">
        <v>32</v>
      </c>
      <c r="GU38" s="1">
        <v>12</v>
      </c>
      <c r="GV38" s="1">
        <v>21</v>
      </c>
      <c r="GW38" s="1">
        <v>30</v>
      </c>
      <c r="GX38" s="1">
        <v>10</v>
      </c>
      <c r="GY38" s="1">
        <v>48</v>
      </c>
      <c r="GZ38" s="1"/>
      <c r="HA38" s="1"/>
      <c r="HB38" s="1">
        <v>50</v>
      </c>
      <c r="HC38" s="9">
        <v>452</v>
      </c>
      <c r="HD38" s="1"/>
      <c r="HE38" s="1"/>
      <c r="HF38" s="1">
        <v>10</v>
      </c>
      <c r="HG38" s="1">
        <v>75</v>
      </c>
      <c r="HH38" s="1">
        <v>14</v>
      </c>
      <c r="HI38" s="1"/>
      <c r="HJ38" s="1">
        <v>8</v>
      </c>
      <c r="HK38" s="1"/>
      <c r="HL38" s="1">
        <v>36</v>
      </c>
      <c r="HM38" s="1">
        <v>2</v>
      </c>
      <c r="HN38" s="1">
        <v>32</v>
      </c>
      <c r="HO38" s="1">
        <v>3</v>
      </c>
      <c r="HP38" s="1">
        <v>38</v>
      </c>
      <c r="HQ38" s="1">
        <v>3</v>
      </c>
      <c r="HR38" s="1">
        <v>20</v>
      </c>
      <c r="HS38" s="1">
        <v>37</v>
      </c>
      <c r="HT38" s="1">
        <v>1</v>
      </c>
      <c r="HU38" s="1">
        <v>38</v>
      </c>
      <c r="HV38" s="9">
        <v>317</v>
      </c>
      <c r="HW38" s="1">
        <f t="shared" si="0"/>
        <v>6839</v>
      </c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</row>
    <row r="39" spans="1:249" s="6" customFormat="1" x14ac:dyDescent="0.4">
      <c r="A39" s="6" t="s">
        <v>43</v>
      </c>
      <c r="B39" s="6" t="s">
        <v>1</v>
      </c>
      <c r="C39" s="7"/>
      <c r="D39" s="7"/>
      <c r="E39" s="7">
        <v>2</v>
      </c>
      <c r="F39" s="7">
        <v>3</v>
      </c>
      <c r="G39" s="7">
        <v>2</v>
      </c>
      <c r="H39" s="7">
        <v>7</v>
      </c>
      <c r="I39" s="7">
        <v>1</v>
      </c>
      <c r="J39" s="7">
        <v>2</v>
      </c>
      <c r="K39" s="7">
        <v>1</v>
      </c>
      <c r="L39" s="7">
        <v>4</v>
      </c>
      <c r="M39" s="7">
        <v>1</v>
      </c>
      <c r="N39" s="7">
        <v>1</v>
      </c>
      <c r="O39" s="7">
        <v>19</v>
      </c>
      <c r="P39" s="7">
        <v>1</v>
      </c>
      <c r="Q39" s="7">
        <v>1</v>
      </c>
      <c r="R39" s="7"/>
      <c r="S39" s="7"/>
      <c r="T39" s="7">
        <v>1</v>
      </c>
      <c r="U39" s="9">
        <v>46</v>
      </c>
      <c r="V39" s="7"/>
      <c r="W39" s="7">
        <v>18</v>
      </c>
      <c r="X39" s="7">
        <v>1</v>
      </c>
      <c r="Y39" s="7">
        <v>41</v>
      </c>
      <c r="Z39" s="7">
        <v>3</v>
      </c>
      <c r="AA39" s="7">
        <v>3</v>
      </c>
      <c r="AB39" s="7"/>
      <c r="AC39" s="7">
        <v>1</v>
      </c>
      <c r="AD39" s="7">
        <v>1</v>
      </c>
      <c r="AE39" s="7">
        <v>5</v>
      </c>
      <c r="AF39" s="7"/>
      <c r="AG39" s="7"/>
      <c r="AH39" s="7">
        <v>15</v>
      </c>
      <c r="AI39" s="7"/>
      <c r="AJ39" s="7"/>
      <c r="AK39" s="7"/>
      <c r="AL39" s="7"/>
      <c r="AM39" s="7"/>
      <c r="AN39" s="9">
        <v>88</v>
      </c>
      <c r="AO39" s="7"/>
      <c r="AP39" s="7"/>
      <c r="AQ39" s="7">
        <v>1</v>
      </c>
      <c r="AR39" s="7">
        <v>10</v>
      </c>
      <c r="AS39" s="7">
        <v>2</v>
      </c>
      <c r="AT39" s="7">
        <v>1</v>
      </c>
      <c r="AU39" s="7"/>
      <c r="AV39" s="7">
        <v>3</v>
      </c>
      <c r="AW39" s="7"/>
      <c r="AX39" s="7">
        <v>2</v>
      </c>
      <c r="AY39" s="7">
        <v>2</v>
      </c>
      <c r="AZ39" s="7">
        <v>3</v>
      </c>
      <c r="BA39" s="7">
        <v>1</v>
      </c>
      <c r="BB39" s="7">
        <v>5</v>
      </c>
      <c r="BC39" s="7"/>
      <c r="BD39" s="7"/>
      <c r="BE39" s="7">
        <v>8</v>
      </c>
      <c r="BF39" s="7"/>
      <c r="BG39" s="9">
        <v>38</v>
      </c>
      <c r="BH39" s="7"/>
      <c r="BI39" s="7">
        <v>24</v>
      </c>
      <c r="BJ39" s="7">
        <v>5</v>
      </c>
      <c r="BK39" s="7">
        <v>10</v>
      </c>
      <c r="BL39" s="7"/>
      <c r="BM39" s="7">
        <v>3</v>
      </c>
      <c r="BN39" s="7">
        <v>1</v>
      </c>
      <c r="BO39" s="7">
        <v>1</v>
      </c>
      <c r="BP39" s="7">
        <v>3</v>
      </c>
      <c r="BQ39" s="7">
        <v>5</v>
      </c>
      <c r="BR39" s="7"/>
      <c r="BS39" s="7">
        <v>1</v>
      </c>
      <c r="BT39" s="7"/>
      <c r="BU39" s="7">
        <v>1</v>
      </c>
      <c r="BV39" s="7">
        <v>1</v>
      </c>
      <c r="BW39" s="7">
        <v>4</v>
      </c>
      <c r="BX39" s="7"/>
      <c r="BY39" s="7"/>
      <c r="BZ39" s="9">
        <v>59</v>
      </c>
      <c r="CA39" s="7"/>
      <c r="CB39" s="7"/>
      <c r="CC39" s="7">
        <v>4</v>
      </c>
      <c r="CD39" s="7">
        <v>5</v>
      </c>
      <c r="CE39" s="7"/>
      <c r="CF39" s="7">
        <v>1</v>
      </c>
      <c r="CG39" s="7">
        <v>2</v>
      </c>
      <c r="CH39" s="7">
        <v>1</v>
      </c>
      <c r="CI39" s="7"/>
      <c r="CJ39" s="7">
        <v>4</v>
      </c>
      <c r="CK39" s="7"/>
      <c r="CL39" s="7">
        <v>2</v>
      </c>
      <c r="CM39" s="7">
        <v>19</v>
      </c>
      <c r="CN39" s="7">
        <v>6</v>
      </c>
      <c r="CO39" s="7">
        <v>1</v>
      </c>
      <c r="CP39" s="7"/>
      <c r="CQ39" s="7"/>
      <c r="CR39" s="7"/>
      <c r="CS39" s="9">
        <v>45</v>
      </c>
      <c r="CT39" s="7"/>
      <c r="CU39" s="7"/>
      <c r="CV39" s="7">
        <v>3</v>
      </c>
      <c r="CW39" s="7">
        <v>7</v>
      </c>
      <c r="CX39" s="7">
        <v>4</v>
      </c>
      <c r="CY39" s="7"/>
      <c r="CZ39" s="7"/>
      <c r="DA39" s="7">
        <v>1</v>
      </c>
      <c r="DB39" s="7">
        <v>2</v>
      </c>
      <c r="DC39" s="7">
        <v>2</v>
      </c>
      <c r="DD39" s="7">
        <v>1</v>
      </c>
      <c r="DE39" s="7">
        <v>3</v>
      </c>
      <c r="DF39" s="7">
        <v>17</v>
      </c>
      <c r="DG39" s="7">
        <v>1</v>
      </c>
      <c r="DH39" s="7"/>
      <c r="DI39" s="7"/>
      <c r="DJ39" s="7"/>
      <c r="DK39" s="7">
        <v>2</v>
      </c>
      <c r="DL39" s="9">
        <v>43</v>
      </c>
      <c r="DM39" s="7"/>
      <c r="DN39" s="7"/>
      <c r="DO39" s="7">
        <v>4</v>
      </c>
      <c r="DP39" s="7">
        <v>5</v>
      </c>
      <c r="DQ39" s="7">
        <v>4</v>
      </c>
      <c r="DR39" s="7"/>
      <c r="DS39" s="7"/>
      <c r="DT39" s="7">
        <v>10</v>
      </c>
      <c r="DU39" s="7">
        <v>1</v>
      </c>
      <c r="DV39" s="7">
        <v>2</v>
      </c>
      <c r="DW39" s="7">
        <v>2</v>
      </c>
      <c r="DX39" s="7">
        <v>1</v>
      </c>
      <c r="DY39" s="7">
        <v>16</v>
      </c>
      <c r="DZ39" s="7">
        <v>1</v>
      </c>
      <c r="EA39" s="7">
        <v>2</v>
      </c>
      <c r="EB39" s="7"/>
      <c r="EC39" s="7"/>
      <c r="ED39" s="7"/>
      <c r="EE39" s="9">
        <v>48</v>
      </c>
      <c r="EF39" s="7"/>
      <c r="EG39" s="7"/>
      <c r="EH39" s="7">
        <v>7</v>
      </c>
      <c r="EI39" s="7">
        <v>6</v>
      </c>
      <c r="EJ39" s="7">
        <v>4</v>
      </c>
      <c r="EK39" s="7">
        <v>1</v>
      </c>
      <c r="EL39" s="7">
        <v>1</v>
      </c>
      <c r="EM39" s="7">
        <v>12</v>
      </c>
      <c r="EN39" s="7"/>
      <c r="EO39" s="7"/>
      <c r="EP39" s="7">
        <v>2</v>
      </c>
      <c r="EQ39" s="7">
        <v>2</v>
      </c>
      <c r="ER39" s="7">
        <v>1</v>
      </c>
      <c r="ES39" s="7">
        <v>1</v>
      </c>
      <c r="ET39" s="7">
        <v>6</v>
      </c>
      <c r="EU39" s="7">
        <v>6</v>
      </c>
      <c r="EV39" s="7"/>
      <c r="EW39" s="7">
        <v>1</v>
      </c>
      <c r="EX39" s="9">
        <v>50</v>
      </c>
      <c r="EY39" s="7"/>
      <c r="EZ39" s="7"/>
      <c r="FA39" s="7">
        <v>7</v>
      </c>
      <c r="FB39" s="7">
        <v>2</v>
      </c>
      <c r="FC39" s="7">
        <v>2</v>
      </c>
      <c r="FD39" s="7">
        <v>2</v>
      </c>
      <c r="FE39" s="7"/>
      <c r="FF39" s="7">
        <v>7</v>
      </c>
      <c r="FG39" s="7">
        <v>2</v>
      </c>
      <c r="FH39" s="7">
        <v>7</v>
      </c>
      <c r="FI39" s="7"/>
      <c r="FJ39" s="7"/>
      <c r="FK39" s="7"/>
      <c r="FL39" s="7">
        <v>2</v>
      </c>
      <c r="FM39" s="7"/>
      <c r="FN39" s="7">
        <v>2</v>
      </c>
      <c r="FO39" s="7"/>
      <c r="FP39" s="7">
        <v>3</v>
      </c>
      <c r="FQ39" s="9">
        <v>36</v>
      </c>
      <c r="FR39" s="7"/>
      <c r="FS39" s="7"/>
      <c r="FT39" s="7">
        <v>2</v>
      </c>
      <c r="FU39" s="7">
        <v>4</v>
      </c>
      <c r="FV39" s="7">
        <v>1</v>
      </c>
      <c r="FW39" s="7"/>
      <c r="FX39" s="7"/>
      <c r="FY39" s="7"/>
      <c r="FZ39" s="7">
        <v>2</v>
      </c>
      <c r="GA39" s="7"/>
      <c r="GB39" s="7"/>
      <c r="GC39" s="7"/>
      <c r="GD39" s="7"/>
      <c r="GE39" s="7"/>
      <c r="GF39" s="7">
        <v>2</v>
      </c>
      <c r="GG39" s="7"/>
      <c r="GH39" s="7"/>
      <c r="GI39" s="7"/>
      <c r="GJ39" s="9">
        <v>11</v>
      </c>
      <c r="GK39" s="7"/>
      <c r="GL39" s="7">
        <v>2</v>
      </c>
      <c r="GM39" s="7">
        <v>6</v>
      </c>
      <c r="GN39" s="7">
        <v>2</v>
      </c>
      <c r="GO39" s="7">
        <v>3</v>
      </c>
      <c r="GP39" s="7"/>
      <c r="GQ39" s="7">
        <v>1</v>
      </c>
      <c r="GR39" s="7">
        <v>1</v>
      </c>
      <c r="GS39" s="7">
        <v>1</v>
      </c>
      <c r="GT39" s="7"/>
      <c r="GU39" s="7">
        <v>3</v>
      </c>
      <c r="GV39" s="7"/>
      <c r="GW39" s="7"/>
      <c r="GX39" s="7">
        <v>2</v>
      </c>
      <c r="GY39" s="7">
        <v>1</v>
      </c>
      <c r="GZ39" s="7">
        <v>2</v>
      </c>
      <c r="HA39" s="7"/>
      <c r="HB39" s="7"/>
      <c r="HC39" s="9">
        <v>24</v>
      </c>
      <c r="HD39" s="7"/>
      <c r="HE39" s="7"/>
      <c r="HF39" s="7"/>
      <c r="HG39" s="7">
        <v>6</v>
      </c>
      <c r="HH39" s="7"/>
      <c r="HI39" s="7">
        <v>1</v>
      </c>
      <c r="HJ39" s="7"/>
      <c r="HK39" s="7">
        <v>2</v>
      </c>
      <c r="HL39" s="7"/>
      <c r="HM39" s="7">
        <v>6</v>
      </c>
      <c r="HN39" s="7">
        <v>2</v>
      </c>
      <c r="HO39" s="7">
        <v>8</v>
      </c>
      <c r="HP39" s="7">
        <v>6</v>
      </c>
      <c r="HQ39" s="7"/>
      <c r="HR39" s="7">
        <v>13</v>
      </c>
      <c r="HS39" s="7">
        <v>3</v>
      </c>
      <c r="HT39" s="7"/>
      <c r="HU39" s="7">
        <v>4</v>
      </c>
      <c r="HV39" s="9">
        <v>51</v>
      </c>
      <c r="HW39" s="7">
        <f t="shared" si="0"/>
        <v>539</v>
      </c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</row>
    <row r="40" spans="1:249" x14ac:dyDescent="0.4">
      <c r="A40" t="s">
        <v>43</v>
      </c>
      <c r="B40" t="s">
        <v>8</v>
      </c>
      <c r="C40" s="1"/>
      <c r="D40" s="1"/>
      <c r="E40" s="1">
        <v>2</v>
      </c>
      <c r="F40" s="1">
        <v>2</v>
      </c>
      <c r="G40" s="1"/>
      <c r="H40" s="1"/>
      <c r="I40" s="1">
        <v>1</v>
      </c>
      <c r="J40" s="1">
        <v>1</v>
      </c>
      <c r="K40" s="1">
        <v>1</v>
      </c>
      <c r="L40" s="1">
        <v>1</v>
      </c>
      <c r="M40" s="1"/>
      <c r="N40" s="1">
        <v>2</v>
      </c>
      <c r="O40" s="1">
        <v>10</v>
      </c>
      <c r="P40" s="1">
        <v>1</v>
      </c>
      <c r="Q40" s="1">
        <v>1</v>
      </c>
      <c r="R40" s="1">
        <v>4</v>
      </c>
      <c r="S40" s="1"/>
      <c r="T40" s="1">
        <v>24</v>
      </c>
      <c r="U40" s="9">
        <v>50</v>
      </c>
      <c r="V40" s="1"/>
      <c r="W40" s="1"/>
      <c r="X40" s="1">
        <v>2</v>
      </c>
      <c r="Y40" s="1">
        <v>42</v>
      </c>
      <c r="Z40" s="1">
        <v>5</v>
      </c>
      <c r="AA40" s="1"/>
      <c r="AB40" s="1">
        <v>3</v>
      </c>
      <c r="AC40" s="1">
        <v>1</v>
      </c>
      <c r="AD40" s="1">
        <v>2</v>
      </c>
      <c r="AE40" s="1"/>
      <c r="AF40" s="1">
        <v>38</v>
      </c>
      <c r="AG40" s="1">
        <v>9</v>
      </c>
      <c r="AH40" s="1">
        <v>4</v>
      </c>
      <c r="AI40" s="1"/>
      <c r="AJ40" s="1">
        <v>2</v>
      </c>
      <c r="AK40" s="1">
        <v>2</v>
      </c>
      <c r="AL40" s="1"/>
      <c r="AM40" s="1"/>
      <c r="AN40" s="9">
        <v>110</v>
      </c>
      <c r="AO40" s="1"/>
      <c r="AP40" s="1"/>
      <c r="AQ40" s="1">
        <v>5</v>
      </c>
      <c r="AR40" s="1">
        <v>17</v>
      </c>
      <c r="AS40" s="1">
        <v>94</v>
      </c>
      <c r="AT40" s="1"/>
      <c r="AU40" s="1">
        <v>1</v>
      </c>
      <c r="AV40" s="1">
        <v>2</v>
      </c>
      <c r="AW40" s="1">
        <v>1</v>
      </c>
      <c r="AX40" s="1"/>
      <c r="AY40" s="1"/>
      <c r="AZ40" s="1">
        <v>2</v>
      </c>
      <c r="BA40" s="1">
        <v>18</v>
      </c>
      <c r="BB40" s="1">
        <v>4</v>
      </c>
      <c r="BC40" s="1"/>
      <c r="BD40" s="1"/>
      <c r="BE40" s="1"/>
      <c r="BF40" s="1"/>
      <c r="BG40" s="9">
        <v>144</v>
      </c>
      <c r="BH40" s="1"/>
      <c r="BI40" s="1"/>
      <c r="BJ40" s="1">
        <v>5</v>
      </c>
      <c r="BK40" s="1">
        <v>19</v>
      </c>
      <c r="BL40" s="1">
        <v>10</v>
      </c>
      <c r="BM40" s="1">
        <v>2</v>
      </c>
      <c r="BN40" s="1">
        <v>7</v>
      </c>
      <c r="BO40" s="1">
        <v>2</v>
      </c>
      <c r="BP40" s="1">
        <v>3</v>
      </c>
      <c r="BQ40" s="1">
        <v>3</v>
      </c>
      <c r="BR40" s="1"/>
      <c r="BS40" s="1">
        <v>4</v>
      </c>
      <c r="BT40" s="1">
        <v>14</v>
      </c>
      <c r="BU40" s="1">
        <v>14</v>
      </c>
      <c r="BV40" s="1">
        <v>1</v>
      </c>
      <c r="BW40" s="1"/>
      <c r="BX40" s="1"/>
      <c r="BY40" s="1"/>
      <c r="BZ40" s="9">
        <v>84</v>
      </c>
      <c r="CA40" s="1"/>
      <c r="CB40" s="1"/>
      <c r="CC40" s="1">
        <v>3</v>
      </c>
      <c r="CD40" s="1">
        <v>10</v>
      </c>
      <c r="CE40" s="1">
        <v>23</v>
      </c>
      <c r="CF40" s="1"/>
      <c r="CG40" s="1"/>
      <c r="CH40" s="1"/>
      <c r="CI40" s="1">
        <v>2</v>
      </c>
      <c r="CJ40" s="1"/>
      <c r="CK40" s="1"/>
      <c r="CL40" s="1">
        <v>1</v>
      </c>
      <c r="CM40" s="1">
        <v>3</v>
      </c>
      <c r="CN40" s="1">
        <v>3</v>
      </c>
      <c r="CO40" s="1">
        <v>7</v>
      </c>
      <c r="CP40" s="1">
        <v>3</v>
      </c>
      <c r="CQ40" s="1"/>
      <c r="CR40" s="1">
        <v>28</v>
      </c>
      <c r="CS40" s="9">
        <v>83</v>
      </c>
      <c r="CT40" s="1"/>
      <c r="CU40" s="1"/>
      <c r="CV40" s="1"/>
      <c r="CW40" s="1">
        <v>18</v>
      </c>
      <c r="CX40" s="1">
        <v>17</v>
      </c>
      <c r="CY40" s="1"/>
      <c r="CZ40" s="1">
        <v>4</v>
      </c>
      <c r="DA40" s="1">
        <v>4</v>
      </c>
      <c r="DB40" s="1">
        <v>2</v>
      </c>
      <c r="DC40" s="1"/>
      <c r="DD40" s="1"/>
      <c r="DE40" s="1">
        <v>7</v>
      </c>
      <c r="DF40" s="1"/>
      <c r="DG40" s="1">
        <v>2</v>
      </c>
      <c r="DH40" s="1"/>
      <c r="DI40" s="1">
        <v>4</v>
      </c>
      <c r="DJ40" s="1"/>
      <c r="DK40" s="1"/>
      <c r="DL40" s="9">
        <v>58</v>
      </c>
      <c r="DM40" s="1"/>
      <c r="DN40" s="1"/>
      <c r="DO40" s="1">
        <v>2</v>
      </c>
      <c r="DP40" s="1">
        <v>34</v>
      </c>
      <c r="DQ40" s="1">
        <v>6</v>
      </c>
      <c r="DR40" s="1"/>
      <c r="DS40" s="1">
        <v>5</v>
      </c>
      <c r="DT40" s="1">
        <v>2</v>
      </c>
      <c r="DU40" s="1"/>
      <c r="DV40" s="1">
        <v>1</v>
      </c>
      <c r="DW40" s="1"/>
      <c r="DX40" s="1">
        <v>3</v>
      </c>
      <c r="DY40" s="1">
        <v>14</v>
      </c>
      <c r="DZ40" s="1">
        <v>2</v>
      </c>
      <c r="EA40" s="1">
        <v>9</v>
      </c>
      <c r="EB40" s="1">
        <v>1</v>
      </c>
      <c r="EC40" s="1"/>
      <c r="ED40" s="1"/>
      <c r="EE40" s="9">
        <v>79</v>
      </c>
      <c r="EF40" s="1"/>
      <c r="EG40" s="1"/>
      <c r="EH40" s="1">
        <v>1</v>
      </c>
      <c r="EI40" s="1">
        <v>3</v>
      </c>
      <c r="EJ40" s="1">
        <v>3</v>
      </c>
      <c r="EK40" s="1">
        <v>1</v>
      </c>
      <c r="EL40" s="1"/>
      <c r="EM40" s="1">
        <v>1</v>
      </c>
      <c r="EN40" s="1">
        <v>4</v>
      </c>
      <c r="EO40" s="1">
        <v>4</v>
      </c>
      <c r="EP40" s="1">
        <v>1</v>
      </c>
      <c r="EQ40" s="1">
        <v>1</v>
      </c>
      <c r="ER40" s="1">
        <v>9</v>
      </c>
      <c r="ES40" s="1">
        <v>1</v>
      </c>
      <c r="ET40" s="1"/>
      <c r="EU40" s="1">
        <v>14</v>
      </c>
      <c r="EV40" s="1"/>
      <c r="EW40" s="1">
        <v>11</v>
      </c>
      <c r="EX40" s="9">
        <v>54</v>
      </c>
      <c r="EY40" s="1"/>
      <c r="EZ40" s="1"/>
      <c r="FA40" s="1"/>
      <c r="FB40" s="1">
        <v>5</v>
      </c>
      <c r="FC40" s="1"/>
      <c r="FD40" s="1">
        <v>1</v>
      </c>
      <c r="FE40" s="1"/>
      <c r="FF40" s="1">
        <v>1</v>
      </c>
      <c r="FG40" s="1">
        <v>3</v>
      </c>
      <c r="FH40" s="1">
        <v>1</v>
      </c>
      <c r="FI40" s="1">
        <v>3</v>
      </c>
      <c r="FJ40" s="1">
        <v>3</v>
      </c>
      <c r="FK40" s="1">
        <v>17</v>
      </c>
      <c r="FL40" s="1"/>
      <c r="FM40" s="1">
        <v>1</v>
      </c>
      <c r="FN40" s="1">
        <v>2</v>
      </c>
      <c r="FO40" s="1"/>
      <c r="FP40" s="1">
        <v>2</v>
      </c>
      <c r="FQ40" s="9">
        <v>39</v>
      </c>
      <c r="FR40" s="1"/>
      <c r="FS40" s="1"/>
      <c r="FT40" s="1">
        <v>2</v>
      </c>
      <c r="FU40" s="1">
        <v>6</v>
      </c>
      <c r="FV40" s="1">
        <v>15</v>
      </c>
      <c r="FW40" s="1"/>
      <c r="FX40" s="1">
        <v>3</v>
      </c>
      <c r="FY40" s="1"/>
      <c r="FZ40" s="1">
        <v>8</v>
      </c>
      <c r="GA40" s="1">
        <v>1</v>
      </c>
      <c r="GB40" s="1">
        <v>2</v>
      </c>
      <c r="GC40" s="1"/>
      <c r="GD40" s="1">
        <v>16</v>
      </c>
      <c r="GE40" s="1">
        <v>1</v>
      </c>
      <c r="GF40" s="1">
        <v>4</v>
      </c>
      <c r="GG40" s="1"/>
      <c r="GH40" s="1"/>
      <c r="GI40" s="1"/>
      <c r="GJ40" s="9">
        <v>58</v>
      </c>
      <c r="GK40" s="1"/>
      <c r="GL40" s="1"/>
      <c r="GM40" s="1"/>
      <c r="GN40" s="1">
        <v>4</v>
      </c>
      <c r="GO40" s="1">
        <v>30</v>
      </c>
      <c r="GP40" s="1">
        <v>2</v>
      </c>
      <c r="GQ40" s="1">
        <v>1</v>
      </c>
      <c r="GR40" s="1">
        <v>1</v>
      </c>
      <c r="GS40" s="1"/>
      <c r="GT40" s="1">
        <v>1</v>
      </c>
      <c r="GU40" s="1"/>
      <c r="GV40" s="1">
        <v>4</v>
      </c>
      <c r="GW40" s="1">
        <v>13</v>
      </c>
      <c r="GX40" s="1"/>
      <c r="GY40" s="1">
        <v>2</v>
      </c>
      <c r="GZ40" s="1">
        <v>3</v>
      </c>
      <c r="HA40" s="1"/>
      <c r="HB40" s="1">
        <v>2</v>
      </c>
      <c r="HC40" s="9">
        <v>63</v>
      </c>
      <c r="HD40" s="1"/>
      <c r="HE40" s="1"/>
      <c r="HF40" s="1">
        <v>7</v>
      </c>
      <c r="HG40" s="1">
        <v>43</v>
      </c>
      <c r="HH40" s="1">
        <v>47</v>
      </c>
      <c r="HI40" s="1">
        <v>2</v>
      </c>
      <c r="HJ40" s="1">
        <v>14</v>
      </c>
      <c r="HK40" s="1">
        <v>9</v>
      </c>
      <c r="HL40" s="1">
        <v>1</v>
      </c>
      <c r="HM40" s="1"/>
      <c r="HN40" s="1">
        <v>2</v>
      </c>
      <c r="HO40" s="1">
        <v>16</v>
      </c>
      <c r="HP40" s="1">
        <v>11</v>
      </c>
      <c r="HQ40" s="1">
        <v>1</v>
      </c>
      <c r="HR40" s="1">
        <v>6</v>
      </c>
      <c r="HS40" s="1">
        <v>2</v>
      </c>
      <c r="HT40" s="1"/>
      <c r="HU40" s="1"/>
      <c r="HV40" s="9">
        <v>161</v>
      </c>
      <c r="HW40" s="1">
        <f t="shared" si="0"/>
        <v>983</v>
      </c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</row>
    <row r="41" spans="1:249" s="6" customFormat="1" x14ac:dyDescent="0.4">
      <c r="A41" s="6" t="s">
        <v>43</v>
      </c>
      <c r="B41" s="6" t="s">
        <v>16</v>
      </c>
      <c r="C41" s="7"/>
      <c r="D41" s="7"/>
      <c r="E41" s="7"/>
      <c r="F41" s="7">
        <v>1</v>
      </c>
      <c r="G41" s="7"/>
      <c r="H41" s="7"/>
      <c r="I41" s="7"/>
      <c r="J41" s="7"/>
      <c r="K41" s="7"/>
      <c r="L41" s="7"/>
      <c r="M41" s="7">
        <v>12</v>
      </c>
      <c r="N41" s="7">
        <v>1</v>
      </c>
      <c r="O41" s="7"/>
      <c r="P41" s="7"/>
      <c r="Q41" s="7">
        <v>1</v>
      </c>
      <c r="R41" s="7">
        <v>2</v>
      </c>
      <c r="S41" s="7">
        <v>1</v>
      </c>
      <c r="T41" s="7">
        <v>1</v>
      </c>
      <c r="U41" s="9">
        <v>19</v>
      </c>
      <c r="V41" s="7"/>
      <c r="W41" s="7"/>
      <c r="X41" s="7">
        <v>1</v>
      </c>
      <c r="Y41" s="7">
        <v>1</v>
      </c>
      <c r="Z41" s="7"/>
      <c r="AA41" s="7">
        <v>1</v>
      </c>
      <c r="AB41" s="7"/>
      <c r="AC41" s="7">
        <v>1</v>
      </c>
      <c r="AD41" s="7">
        <v>1</v>
      </c>
      <c r="AE41" s="7"/>
      <c r="AF41" s="7">
        <v>1</v>
      </c>
      <c r="AG41" s="7"/>
      <c r="AH41" s="7"/>
      <c r="AI41" s="7">
        <v>1</v>
      </c>
      <c r="AJ41" s="7"/>
      <c r="AK41" s="7"/>
      <c r="AL41" s="7"/>
      <c r="AM41" s="7"/>
      <c r="AN41" s="9">
        <v>7</v>
      </c>
      <c r="AO41" s="7"/>
      <c r="AP41" s="7"/>
      <c r="AQ41" s="7">
        <v>1</v>
      </c>
      <c r="AR41" s="7"/>
      <c r="AS41" s="7"/>
      <c r="AT41" s="7"/>
      <c r="AU41" s="7"/>
      <c r="AV41" s="7"/>
      <c r="AW41" s="7">
        <v>1</v>
      </c>
      <c r="AX41" s="7"/>
      <c r="AY41" s="7">
        <v>1</v>
      </c>
      <c r="AZ41" s="7"/>
      <c r="BA41" s="7">
        <v>1</v>
      </c>
      <c r="BB41" s="7"/>
      <c r="BC41" s="7"/>
      <c r="BD41" s="7"/>
      <c r="BE41" s="7"/>
      <c r="BF41" s="7"/>
      <c r="BG41" s="9">
        <v>4</v>
      </c>
      <c r="BH41" s="7"/>
      <c r="BI41" s="7"/>
      <c r="BJ41" s="7"/>
      <c r="BK41" s="7">
        <v>1</v>
      </c>
      <c r="BL41" s="7">
        <v>1</v>
      </c>
      <c r="BM41" s="7"/>
      <c r="BN41" s="7"/>
      <c r="BO41" s="7"/>
      <c r="BP41" s="7">
        <v>1</v>
      </c>
      <c r="BQ41" s="7">
        <v>8</v>
      </c>
      <c r="BR41" s="7">
        <v>1</v>
      </c>
      <c r="BS41" s="7"/>
      <c r="BT41" s="7"/>
      <c r="BU41" s="7"/>
      <c r="BV41" s="7"/>
      <c r="BW41" s="7"/>
      <c r="BX41" s="7">
        <v>1</v>
      </c>
      <c r="BY41" s="7"/>
      <c r="BZ41" s="9">
        <v>13</v>
      </c>
      <c r="CA41" s="7"/>
      <c r="CB41" s="7"/>
      <c r="CC41" s="7">
        <v>1</v>
      </c>
      <c r="CD41" s="7">
        <v>2</v>
      </c>
      <c r="CE41" s="7">
        <v>1</v>
      </c>
      <c r="CF41" s="7"/>
      <c r="CG41" s="7">
        <v>6</v>
      </c>
      <c r="CH41" s="7"/>
      <c r="CI41" s="7">
        <v>1</v>
      </c>
      <c r="CJ41" s="7"/>
      <c r="CK41" s="7">
        <v>16</v>
      </c>
      <c r="CL41" s="7"/>
      <c r="CM41" s="7"/>
      <c r="CN41" s="7"/>
      <c r="CO41" s="7"/>
      <c r="CP41" s="7"/>
      <c r="CQ41" s="7"/>
      <c r="CR41" s="7"/>
      <c r="CS41" s="9">
        <v>27</v>
      </c>
      <c r="CT41" s="7"/>
      <c r="CU41" s="7">
        <v>2</v>
      </c>
      <c r="CV41" s="7"/>
      <c r="CW41" s="7">
        <v>1</v>
      </c>
      <c r="CX41" s="7">
        <v>1</v>
      </c>
      <c r="CY41" s="7">
        <v>2</v>
      </c>
      <c r="CZ41" s="7">
        <v>1</v>
      </c>
      <c r="DA41" s="7"/>
      <c r="DB41" s="7"/>
      <c r="DC41" s="7"/>
      <c r="DD41" s="7"/>
      <c r="DE41" s="7"/>
      <c r="DF41" s="7">
        <v>1</v>
      </c>
      <c r="DG41" s="7"/>
      <c r="DH41" s="7"/>
      <c r="DI41" s="7"/>
      <c r="DJ41" s="7"/>
      <c r="DK41" s="7"/>
      <c r="DL41" s="9">
        <v>8</v>
      </c>
      <c r="DM41" s="7"/>
      <c r="DN41" s="7"/>
      <c r="DO41" s="7"/>
      <c r="DP41" s="7">
        <v>4</v>
      </c>
      <c r="DQ41" s="7"/>
      <c r="DR41" s="7">
        <v>2</v>
      </c>
      <c r="DS41" s="7"/>
      <c r="DT41" s="7">
        <v>1</v>
      </c>
      <c r="DU41" s="7">
        <v>1</v>
      </c>
      <c r="DV41" s="7"/>
      <c r="DW41" s="7">
        <v>5</v>
      </c>
      <c r="DX41" s="7"/>
      <c r="DY41" s="7">
        <v>1</v>
      </c>
      <c r="DZ41" s="7"/>
      <c r="EA41" s="7"/>
      <c r="EB41" s="7"/>
      <c r="EC41" s="7"/>
      <c r="ED41" s="7"/>
      <c r="EE41" s="9">
        <v>14</v>
      </c>
      <c r="EF41" s="7"/>
      <c r="EG41" s="7"/>
      <c r="EH41" s="7"/>
      <c r="EI41" s="7"/>
      <c r="EJ41" s="7">
        <v>1</v>
      </c>
      <c r="EK41" s="7">
        <v>1</v>
      </c>
      <c r="EL41" s="7"/>
      <c r="EM41" s="7">
        <v>2</v>
      </c>
      <c r="EN41" s="7">
        <v>1</v>
      </c>
      <c r="EO41" s="7"/>
      <c r="EP41" s="7"/>
      <c r="EQ41" s="7">
        <v>1</v>
      </c>
      <c r="ER41" s="7"/>
      <c r="ES41" s="7"/>
      <c r="ET41" s="7"/>
      <c r="EU41" s="7"/>
      <c r="EV41" s="7"/>
      <c r="EW41" s="7">
        <v>1</v>
      </c>
      <c r="EX41" s="9">
        <v>7</v>
      </c>
      <c r="EY41" s="7"/>
      <c r="EZ41" s="7">
        <v>8</v>
      </c>
      <c r="FA41" s="7"/>
      <c r="FB41" s="7">
        <v>3</v>
      </c>
      <c r="FC41" s="7"/>
      <c r="FD41" s="7">
        <v>2</v>
      </c>
      <c r="FE41" s="7"/>
      <c r="FF41" s="7">
        <v>2</v>
      </c>
      <c r="FG41" s="7"/>
      <c r="FH41" s="7"/>
      <c r="FI41" s="7"/>
      <c r="FJ41" s="7">
        <v>1</v>
      </c>
      <c r="FK41" s="7">
        <v>1</v>
      </c>
      <c r="FL41" s="7"/>
      <c r="FM41" s="7"/>
      <c r="FN41" s="7"/>
      <c r="FO41" s="7"/>
      <c r="FP41" s="7"/>
      <c r="FQ41" s="9">
        <v>17</v>
      </c>
      <c r="FR41" s="7"/>
      <c r="FS41" s="7"/>
      <c r="FT41" s="7"/>
      <c r="FU41" s="7"/>
      <c r="FV41" s="7"/>
      <c r="FW41" s="7"/>
      <c r="FX41" s="7"/>
      <c r="FY41" s="7"/>
      <c r="FZ41" s="7">
        <v>1</v>
      </c>
      <c r="GA41" s="7"/>
      <c r="GB41" s="7"/>
      <c r="GC41" s="7"/>
      <c r="GD41" s="7"/>
      <c r="GE41" s="7"/>
      <c r="GF41" s="7">
        <v>2</v>
      </c>
      <c r="GG41" s="7">
        <v>1</v>
      </c>
      <c r="GH41" s="7"/>
      <c r="GI41" s="7"/>
      <c r="GJ41" s="9">
        <v>4</v>
      </c>
      <c r="GK41" s="7"/>
      <c r="GL41" s="7"/>
      <c r="GM41" s="7">
        <v>1</v>
      </c>
      <c r="GN41" s="7">
        <v>2</v>
      </c>
      <c r="GO41" s="7"/>
      <c r="GP41" s="7">
        <v>1</v>
      </c>
      <c r="GQ41" s="7"/>
      <c r="GR41" s="7"/>
      <c r="GS41" s="7"/>
      <c r="GT41" s="7"/>
      <c r="GU41" s="7"/>
      <c r="GV41" s="7"/>
      <c r="GW41" s="7">
        <v>2</v>
      </c>
      <c r="GX41" s="7"/>
      <c r="GY41" s="7"/>
      <c r="GZ41" s="7"/>
      <c r="HA41" s="7">
        <v>1</v>
      </c>
      <c r="HB41" s="7"/>
      <c r="HC41" s="9">
        <v>7</v>
      </c>
      <c r="HD41" s="7"/>
      <c r="HE41" s="7"/>
      <c r="HF41" s="7"/>
      <c r="HG41" s="7">
        <v>1</v>
      </c>
      <c r="HH41" s="7"/>
      <c r="HI41" s="7"/>
      <c r="HJ41" s="7"/>
      <c r="HK41" s="7"/>
      <c r="HL41" s="7"/>
      <c r="HM41" s="7"/>
      <c r="HN41" s="7">
        <v>3</v>
      </c>
      <c r="HO41" s="7"/>
      <c r="HP41" s="7"/>
      <c r="HQ41" s="7"/>
      <c r="HR41" s="7">
        <v>1</v>
      </c>
      <c r="HS41" s="7"/>
      <c r="HT41" s="7"/>
      <c r="HU41" s="7"/>
      <c r="HV41" s="9">
        <v>5</v>
      </c>
      <c r="HW41" s="7">
        <f t="shared" si="0"/>
        <v>132</v>
      </c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</row>
    <row r="42" spans="1:249" x14ac:dyDescent="0.4">
      <c r="A42" t="s">
        <v>43</v>
      </c>
      <c r="B42" t="s">
        <v>24</v>
      </c>
      <c r="C42" s="1"/>
      <c r="D42" s="1">
        <v>29</v>
      </c>
      <c r="E42" s="1"/>
      <c r="F42" s="1">
        <v>1</v>
      </c>
      <c r="G42" s="1"/>
      <c r="H42" s="1">
        <v>2</v>
      </c>
      <c r="I42" s="1"/>
      <c r="J42" s="1"/>
      <c r="K42" s="1">
        <v>3</v>
      </c>
      <c r="L42" s="1">
        <v>1</v>
      </c>
      <c r="M42" s="1">
        <v>2</v>
      </c>
      <c r="N42" s="1"/>
      <c r="O42" s="1">
        <v>3</v>
      </c>
      <c r="P42" s="1">
        <v>6</v>
      </c>
      <c r="Q42" s="1"/>
      <c r="R42" s="1"/>
      <c r="S42" s="1"/>
      <c r="T42" s="1">
        <v>2</v>
      </c>
      <c r="U42" s="9">
        <v>49</v>
      </c>
      <c r="V42" s="1"/>
      <c r="W42" s="1"/>
      <c r="X42" s="1"/>
      <c r="Y42" s="1">
        <v>5</v>
      </c>
      <c r="Z42" s="1">
        <v>2</v>
      </c>
      <c r="AA42" s="1">
        <v>10</v>
      </c>
      <c r="AB42" s="1"/>
      <c r="AC42" s="1"/>
      <c r="AD42" s="1"/>
      <c r="AE42" s="1"/>
      <c r="AF42" s="1"/>
      <c r="AG42" s="1">
        <v>1</v>
      </c>
      <c r="AH42" s="1">
        <v>1</v>
      </c>
      <c r="AI42" s="1">
        <v>3</v>
      </c>
      <c r="AJ42" s="1">
        <v>18</v>
      </c>
      <c r="AK42" s="1"/>
      <c r="AL42" s="1"/>
      <c r="AM42" s="1"/>
      <c r="AN42" s="9">
        <v>40</v>
      </c>
      <c r="AO42" s="1"/>
      <c r="AP42" s="1"/>
      <c r="AQ42" s="1">
        <v>6</v>
      </c>
      <c r="AR42" s="1">
        <v>2</v>
      </c>
      <c r="AS42" s="1">
        <v>2</v>
      </c>
      <c r="AT42" s="1"/>
      <c r="AU42" s="1"/>
      <c r="AV42" s="1"/>
      <c r="AW42" s="1">
        <v>1</v>
      </c>
      <c r="AX42" s="1">
        <v>17</v>
      </c>
      <c r="AY42" s="1"/>
      <c r="AZ42" s="1"/>
      <c r="BA42" s="1">
        <v>1</v>
      </c>
      <c r="BB42" s="1"/>
      <c r="BC42" s="1"/>
      <c r="BD42" s="1"/>
      <c r="BE42" s="1"/>
      <c r="BF42" s="1"/>
      <c r="BG42" s="9">
        <v>29</v>
      </c>
      <c r="BH42" s="1"/>
      <c r="BI42" s="1">
        <v>2</v>
      </c>
      <c r="BJ42" s="1"/>
      <c r="BK42" s="1">
        <v>7</v>
      </c>
      <c r="BL42" s="1">
        <v>1</v>
      </c>
      <c r="BM42" s="1"/>
      <c r="BN42" s="1">
        <v>3</v>
      </c>
      <c r="BO42" s="1">
        <v>1</v>
      </c>
      <c r="BP42" s="1"/>
      <c r="BQ42" s="1">
        <v>2</v>
      </c>
      <c r="BR42" s="1"/>
      <c r="BS42" s="1"/>
      <c r="BT42" s="1">
        <v>2</v>
      </c>
      <c r="BU42" s="1">
        <v>2</v>
      </c>
      <c r="BV42" s="1"/>
      <c r="BW42" s="1"/>
      <c r="BX42" s="1"/>
      <c r="BY42" s="1"/>
      <c r="BZ42" s="9">
        <v>20</v>
      </c>
      <c r="CA42" s="1"/>
      <c r="CB42" s="1">
        <v>2</v>
      </c>
      <c r="CC42" s="1">
        <v>2</v>
      </c>
      <c r="CD42" s="1"/>
      <c r="CE42" s="1">
        <v>1</v>
      </c>
      <c r="CF42" s="1">
        <v>2</v>
      </c>
      <c r="CG42" s="1"/>
      <c r="CH42" s="1">
        <v>3</v>
      </c>
      <c r="CI42" s="1"/>
      <c r="CJ42" s="1"/>
      <c r="CK42" s="1"/>
      <c r="CL42" s="1"/>
      <c r="CM42" s="1"/>
      <c r="CN42" s="1"/>
      <c r="CO42" s="1"/>
      <c r="CP42" s="1"/>
      <c r="CQ42" s="1"/>
      <c r="CR42" s="1">
        <v>7</v>
      </c>
      <c r="CS42" s="9">
        <v>17</v>
      </c>
      <c r="CT42" s="1"/>
      <c r="CU42" s="1"/>
      <c r="CV42" s="1">
        <v>1</v>
      </c>
      <c r="CW42" s="1"/>
      <c r="CX42" s="1">
        <v>2</v>
      </c>
      <c r="CY42" s="1">
        <v>4</v>
      </c>
      <c r="CZ42" s="1"/>
      <c r="DA42" s="1"/>
      <c r="DB42" s="1"/>
      <c r="DC42" s="1">
        <v>6</v>
      </c>
      <c r="DD42" s="1"/>
      <c r="DE42" s="1">
        <v>1</v>
      </c>
      <c r="DF42" s="1"/>
      <c r="DG42" s="1"/>
      <c r="DH42" s="1"/>
      <c r="DI42" s="1"/>
      <c r="DJ42" s="1"/>
      <c r="DK42" s="1"/>
      <c r="DL42" s="9">
        <v>14</v>
      </c>
      <c r="DM42" s="1"/>
      <c r="DN42" s="1">
        <v>15</v>
      </c>
      <c r="DO42" s="1"/>
      <c r="DP42" s="1">
        <v>10</v>
      </c>
      <c r="DQ42" s="1">
        <v>1</v>
      </c>
      <c r="DR42" s="1">
        <v>10</v>
      </c>
      <c r="DS42" s="1"/>
      <c r="DT42" s="1"/>
      <c r="DU42" s="1"/>
      <c r="DV42" s="1">
        <v>1</v>
      </c>
      <c r="DW42" s="1">
        <v>1</v>
      </c>
      <c r="DX42" s="1"/>
      <c r="DY42" s="1">
        <v>10</v>
      </c>
      <c r="DZ42" s="1">
        <v>2</v>
      </c>
      <c r="EA42" s="1"/>
      <c r="EB42" s="1">
        <v>1</v>
      </c>
      <c r="EC42" s="1">
        <v>2</v>
      </c>
      <c r="ED42" s="1">
        <v>1</v>
      </c>
      <c r="EE42" s="9">
        <v>54</v>
      </c>
      <c r="EF42" s="1"/>
      <c r="EG42" s="1">
        <v>8</v>
      </c>
      <c r="EH42" s="1">
        <v>1</v>
      </c>
      <c r="EI42" s="1">
        <v>1</v>
      </c>
      <c r="EJ42" s="1">
        <v>1</v>
      </c>
      <c r="EK42" s="1">
        <v>2</v>
      </c>
      <c r="EL42" s="1"/>
      <c r="EM42" s="1"/>
      <c r="EN42" s="1"/>
      <c r="EO42" s="1">
        <v>1</v>
      </c>
      <c r="EP42" s="1">
        <v>3</v>
      </c>
      <c r="EQ42" s="1"/>
      <c r="ER42" s="1">
        <v>4</v>
      </c>
      <c r="ES42" s="1">
        <v>1</v>
      </c>
      <c r="ET42" s="1"/>
      <c r="EU42" s="1"/>
      <c r="EV42" s="1"/>
      <c r="EW42" s="1"/>
      <c r="EX42" s="9">
        <v>22</v>
      </c>
      <c r="EY42" s="1"/>
      <c r="EZ42" s="1"/>
      <c r="FA42" s="1">
        <v>4</v>
      </c>
      <c r="FB42" s="1">
        <v>2</v>
      </c>
      <c r="FC42" s="1"/>
      <c r="FD42" s="1">
        <v>1</v>
      </c>
      <c r="FE42" s="1">
        <v>2</v>
      </c>
      <c r="FF42" s="1">
        <v>5</v>
      </c>
      <c r="FG42" s="1"/>
      <c r="FH42" s="1">
        <v>1</v>
      </c>
      <c r="FI42" s="1">
        <v>1</v>
      </c>
      <c r="FJ42" s="1"/>
      <c r="FK42" s="1">
        <v>45</v>
      </c>
      <c r="FL42" s="1"/>
      <c r="FM42" s="1"/>
      <c r="FN42" s="1"/>
      <c r="FO42" s="1"/>
      <c r="FP42" s="1">
        <v>1</v>
      </c>
      <c r="FQ42" s="9">
        <v>62</v>
      </c>
      <c r="FR42" s="1"/>
      <c r="FS42" s="1"/>
      <c r="FT42" s="1"/>
      <c r="FU42" s="1">
        <v>2</v>
      </c>
      <c r="FV42" s="1">
        <v>1</v>
      </c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9">
        <v>3</v>
      </c>
      <c r="GK42" s="1"/>
      <c r="GL42" s="1">
        <v>2</v>
      </c>
      <c r="GM42" s="1">
        <v>2</v>
      </c>
      <c r="GN42" s="1">
        <v>1</v>
      </c>
      <c r="GO42" s="1"/>
      <c r="GP42" s="1"/>
      <c r="GQ42" s="1">
        <v>2</v>
      </c>
      <c r="GR42" s="1">
        <v>1</v>
      </c>
      <c r="GS42" s="1"/>
      <c r="GT42" s="1">
        <v>14</v>
      </c>
      <c r="GU42" s="1"/>
      <c r="GV42" s="1">
        <v>15</v>
      </c>
      <c r="GW42" s="1"/>
      <c r="GX42" s="1">
        <v>1</v>
      </c>
      <c r="GY42" s="1"/>
      <c r="GZ42" s="1"/>
      <c r="HA42" s="1"/>
      <c r="HB42" s="1"/>
      <c r="HC42" s="9">
        <v>38</v>
      </c>
      <c r="HD42" s="1"/>
      <c r="HE42" s="1"/>
      <c r="HF42" s="1"/>
      <c r="HG42" s="1">
        <v>1</v>
      </c>
      <c r="HH42" s="1"/>
      <c r="HI42" s="1">
        <v>9</v>
      </c>
      <c r="HJ42" s="1"/>
      <c r="HK42" s="1"/>
      <c r="HL42" s="1"/>
      <c r="HM42" s="1"/>
      <c r="HN42" s="1"/>
      <c r="HO42" s="1"/>
      <c r="HP42" s="1">
        <v>1</v>
      </c>
      <c r="HQ42" s="1"/>
      <c r="HR42" s="1"/>
      <c r="HS42" s="1"/>
      <c r="HT42" s="1"/>
      <c r="HU42" s="1">
        <v>20</v>
      </c>
      <c r="HV42" s="9">
        <v>31</v>
      </c>
      <c r="HW42" s="1">
        <f t="shared" si="0"/>
        <v>379</v>
      </c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</row>
    <row r="43" spans="1:249" x14ac:dyDescent="0.4">
      <c r="A43" t="s">
        <v>43</v>
      </c>
      <c r="B43" t="s">
        <v>17</v>
      </c>
      <c r="C43" s="1"/>
      <c r="D43" s="1"/>
      <c r="E43" s="1"/>
      <c r="F43" s="1"/>
      <c r="G43" s="1"/>
      <c r="H43" s="1"/>
      <c r="I43" s="1">
        <v>1</v>
      </c>
      <c r="J43" s="1">
        <v>1</v>
      </c>
      <c r="K43" s="1">
        <v>1</v>
      </c>
      <c r="L43" s="1">
        <v>2</v>
      </c>
      <c r="M43" s="1"/>
      <c r="N43" s="1"/>
      <c r="O43" s="1"/>
      <c r="P43" s="1"/>
      <c r="Q43" s="1">
        <v>5</v>
      </c>
      <c r="R43" s="1"/>
      <c r="S43" s="1"/>
      <c r="T43" s="1"/>
      <c r="U43" s="9">
        <v>10</v>
      </c>
      <c r="V43" s="1"/>
      <c r="W43" s="1"/>
      <c r="X43" s="1"/>
      <c r="Y43" s="1">
        <v>2</v>
      </c>
      <c r="Z43" s="1"/>
      <c r="AA43" s="1"/>
      <c r="AB43" s="1"/>
      <c r="AC43" s="1"/>
      <c r="AD43" s="1">
        <v>1</v>
      </c>
      <c r="AE43" s="1"/>
      <c r="AF43" s="1">
        <v>1</v>
      </c>
      <c r="AG43" s="1"/>
      <c r="AH43" s="1"/>
      <c r="AI43" s="1"/>
      <c r="AJ43" s="1">
        <v>4</v>
      </c>
      <c r="AK43" s="1"/>
      <c r="AL43" s="1"/>
      <c r="AM43" s="1"/>
      <c r="AN43" s="9">
        <v>8</v>
      </c>
      <c r="AO43" s="1"/>
      <c r="AP43" s="1">
        <v>4</v>
      </c>
      <c r="AQ43" s="1"/>
      <c r="AR43" s="1"/>
      <c r="AS43" s="1"/>
      <c r="AT43" s="1"/>
      <c r="AU43" s="1"/>
      <c r="AV43" s="1"/>
      <c r="AW43" s="1"/>
      <c r="AX43" s="1">
        <v>2</v>
      </c>
      <c r="AY43" s="1"/>
      <c r="AZ43" s="1"/>
      <c r="BA43" s="1">
        <v>1</v>
      </c>
      <c r="BB43" s="1">
        <v>1</v>
      </c>
      <c r="BC43" s="1"/>
      <c r="BD43" s="1"/>
      <c r="BE43" s="1"/>
      <c r="BF43" s="1">
        <v>3</v>
      </c>
      <c r="BG43" s="9">
        <v>11</v>
      </c>
      <c r="BH43" s="1"/>
      <c r="BI43" s="1"/>
      <c r="BJ43" s="1">
        <v>1</v>
      </c>
      <c r="BK43" s="1">
        <v>1</v>
      </c>
      <c r="BL43" s="1">
        <v>3</v>
      </c>
      <c r="BM43" s="1"/>
      <c r="BN43" s="1"/>
      <c r="BO43" s="1"/>
      <c r="BP43" s="1"/>
      <c r="BQ43" s="1">
        <v>30</v>
      </c>
      <c r="BR43" s="1"/>
      <c r="BS43" s="1"/>
      <c r="BT43" s="1"/>
      <c r="BU43" s="1"/>
      <c r="BV43" s="1"/>
      <c r="BW43" s="1"/>
      <c r="BX43" s="1"/>
      <c r="BY43" s="1">
        <v>1</v>
      </c>
      <c r="BZ43" s="9">
        <v>36</v>
      </c>
      <c r="CA43" s="1"/>
      <c r="CB43" s="1"/>
      <c r="CC43" s="1"/>
      <c r="CD43" s="1"/>
      <c r="CE43" s="1"/>
      <c r="CF43" s="1">
        <v>3</v>
      </c>
      <c r="CG43" s="1"/>
      <c r="CH43" s="1"/>
      <c r="CI43" s="1"/>
      <c r="CJ43" s="1">
        <v>5</v>
      </c>
      <c r="CK43" s="1"/>
      <c r="CL43" s="1"/>
      <c r="CM43" s="1"/>
      <c r="CN43" s="1"/>
      <c r="CO43" s="1"/>
      <c r="CP43" s="1"/>
      <c r="CQ43" s="1"/>
      <c r="CR43" s="1"/>
      <c r="CS43" s="9">
        <v>8</v>
      </c>
      <c r="CT43" s="1"/>
      <c r="CU43" s="1"/>
      <c r="CV43" s="1"/>
      <c r="CW43" s="1"/>
      <c r="CX43" s="1"/>
      <c r="CY43" s="1"/>
      <c r="CZ43" s="1">
        <v>2</v>
      </c>
      <c r="DA43" s="1"/>
      <c r="DB43" s="1"/>
      <c r="DC43" s="1">
        <v>3</v>
      </c>
      <c r="DD43" s="1">
        <v>2</v>
      </c>
      <c r="DE43" s="1"/>
      <c r="DF43" s="1">
        <v>1</v>
      </c>
      <c r="DG43" s="1"/>
      <c r="DH43" s="1"/>
      <c r="DI43" s="1"/>
      <c r="DJ43" s="1"/>
      <c r="DK43" s="1"/>
      <c r="DL43" s="9">
        <v>8</v>
      </c>
      <c r="DM43" s="1"/>
      <c r="DN43" s="1"/>
      <c r="DO43" s="1">
        <v>1</v>
      </c>
      <c r="DP43" s="1"/>
      <c r="DQ43" s="1"/>
      <c r="DR43" s="1"/>
      <c r="DS43" s="1"/>
      <c r="DT43" s="1"/>
      <c r="DU43" s="1"/>
      <c r="DV43" s="1">
        <v>1</v>
      </c>
      <c r="DW43" s="1">
        <v>2</v>
      </c>
      <c r="DX43" s="1"/>
      <c r="DY43" s="1"/>
      <c r="DZ43" s="1"/>
      <c r="EA43" s="1">
        <v>3</v>
      </c>
      <c r="EB43" s="1"/>
      <c r="EC43" s="1"/>
      <c r="ED43" s="1"/>
      <c r="EE43" s="9">
        <v>7</v>
      </c>
      <c r="EF43" s="1"/>
      <c r="EG43" s="1"/>
      <c r="EH43" s="1"/>
      <c r="EI43" s="1"/>
      <c r="EJ43" s="1">
        <v>1</v>
      </c>
      <c r="EK43" s="1"/>
      <c r="EL43" s="1"/>
      <c r="EM43" s="1"/>
      <c r="EN43" s="1"/>
      <c r="EO43" s="1">
        <v>2</v>
      </c>
      <c r="EP43" s="1"/>
      <c r="EQ43" s="1">
        <v>2</v>
      </c>
      <c r="ER43" s="1">
        <v>1</v>
      </c>
      <c r="ES43" s="1"/>
      <c r="ET43" s="1">
        <v>1</v>
      </c>
      <c r="EU43" s="1"/>
      <c r="EV43" s="1"/>
      <c r="EW43" s="1"/>
      <c r="EX43" s="9">
        <v>7</v>
      </c>
      <c r="EY43" s="1"/>
      <c r="EZ43" s="1"/>
      <c r="FA43" s="1">
        <v>1</v>
      </c>
      <c r="FB43" s="1"/>
      <c r="FC43" s="1"/>
      <c r="FD43" s="1"/>
      <c r="FE43" s="1"/>
      <c r="FF43" s="1"/>
      <c r="FG43" s="1"/>
      <c r="FH43" s="1">
        <v>4</v>
      </c>
      <c r="FI43" s="1"/>
      <c r="FJ43" s="1">
        <v>1</v>
      </c>
      <c r="FK43" s="1">
        <v>2</v>
      </c>
      <c r="FL43" s="1"/>
      <c r="FM43" s="1"/>
      <c r="FN43" s="1"/>
      <c r="FO43" s="1"/>
      <c r="FP43" s="1"/>
      <c r="FQ43" s="9">
        <v>8</v>
      </c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>
        <v>2</v>
      </c>
      <c r="GE43" s="1"/>
      <c r="GF43" s="1"/>
      <c r="GG43" s="1">
        <v>1</v>
      </c>
      <c r="GH43" s="1">
        <v>1</v>
      </c>
      <c r="GI43" s="1"/>
      <c r="GJ43" s="9">
        <v>4</v>
      </c>
      <c r="GK43" s="1"/>
      <c r="GL43" s="1"/>
      <c r="GM43" s="1">
        <v>2</v>
      </c>
      <c r="GN43" s="1"/>
      <c r="GO43" s="1"/>
      <c r="GP43" s="1"/>
      <c r="GQ43" s="1">
        <v>1</v>
      </c>
      <c r="GR43" s="1"/>
      <c r="GS43" s="1"/>
      <c r="GT43" s="1">
        <v>6</v>
      </c>
      <c r="GU43" s="1"/>
      <c r="GV43" s="1">
        <v>1</v>
      </c>
      <c r="GW43" s="1">
        <v>1</v>
      </c>
      <c r="GX43" s="1"/>
      <c r="GY43" s="1"/>
      <c r="GZ43" s="1">
        <v>1</v>
      </c>
      <c r="HA43" s="1"/>
      <c r="HB43" s="1"/>
      <c r="HC43" s="9">
        <v>12</v>
      </c>
      <c r="HD43" s="1"/>
      <c r="HE43" s="1"/>
      <c r="HF43" s="1"/>
      <c r="HG43" s="1"/>
      <c r="HH43" s="1"/>
      <c r="HI43" s="1"/>
      <c r="HJ43" s="1"/>
      <c r="HK43" s="1"/>
      <c r="HL43" s="1">
        <v>4</v>
      </c>
      <c r="HM43" s="1"/>
      <c r="HN43" s="1">
        <v>7</v>
      </c>
      <c r="HO43" s="1"/>
      <c r="HP43" s="1"/>
      <c r="HQ43" s="1"/>
      <c r="HR43" s="1"/>
      <c r="HS43" s="1">
        <v>1</v>
      </c>
      <c r="HT43" s="1"/>
      <c r="HU43" s="1"/>
      <c r="HV43" s="9">
        <v>12</v>
      </c>
      <c r="HW43" s="1">
        <f t="shared" si="0"/>
        <v>131</v>
      </c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</row>
    <row r="44" spans="1:249" x14ac:dyDescent="0.4">
      <c r="A44" t="s">
        <v>43</v>
      </c>
      <c r="B44" t="s">
        <v>25</v>
      </c>
      <c r="C44" s="1"/>
      <c r="D44" s="1"/>
      <c r="E44" s="1">
        <v>1</v>
      </c>
      <c r="F44" s="1">
        <v>43</v>
      </c>
      <c r="G44" s="1">
        <v>73</v>
      </c>
      <c r="H44" s="1"/>
      <c r="I44" s="1">
        <v>4</v>
      </c>
      <c r="J44" s="1">
        <v>63</v>
      </c>
      <c r="K44" s="1">
        <v>2</v>
      </c>
      <c r="L44" s="1">
        <v>1</v>
      </c>
      <c r="M44" s="1">
        <v>5</v>
      </c>
      <c r="N44" s="1">
        <v>15</v>
      </c>
      <c r="O44" s="1">
        <v>31</v>
      </c>
      <c r="P44" s="1"/>
      <c r="Q44" s="1">
        <v>26</v>
      </c>
      <c r="R44" s="1">
        <v>1</v>
      </c>
      <c r="S44" s="1"/>
      <c r="T44" s="1">
        <v>5</v>
      </c>
      <c r="U44" s="9">
        <v>270</v>
      </c>
      <c r="V44" s="1"/>
      <c r="W44" s="1"/>
      <c r="X44" s="1"/>
      <c r="Y44" s="1">
        <v>6</v>
      </c>
      <c r="Z44" s="1">
        <v>37</v>
      </c>
      <c r="AA44" s="1"/>
      <c r="AB44" s="1"/>
      <c r="AC44" s="1"/>
      <c r="AD44" s="1">
        <v>5</v>
      </c>
      <c r="AE44" s="1">
        <v>2</v>
      </c>
      <c r="AF44" s="1"/>
      <c r="AG44" s="1">
        <v>1</v>
      </c>
      <c r="AH44" s="1">
        <v>1</v>
      </c>
      <c r="AI44" s="1"/>
      <c r="AJ44" s="1">
        <v>1</v>
      </c>
      <c r="AK44" s="1">
        <v>2</v>
      </c>
      <c r="AL44" s="1"/>
      <c r="AM44" s="1"/>
      <c r="AN44" s="9">
        <v>55</v>
      </c>
      <c r="AO44" s="1"/>
      <c r="AP44" s="1"/>
      <c r="AQ44" s="1"/>
      <c r="AR44" s="1"/>
      <c r="AS44" s="1">
        <v>27</v>
      </c>
      <c r="AT44" s="1"/>
      <c r="AU44" s="1">
        <v>10</v>
      </c>
      <c r="AV44" s="1">
        <v>20</v>
      </c>
      <c r="AW44" s="1">
        <v>37</v>
      </c>
      <c r="AX44" s="1">
        <v>2</v>
      </c>
      <c r="AY44" s="1">
        <v>7</v>
      </c>
      <c r="AZ44" s="1">
        <v>2</v>
      </c>
      <c r="BA44" s="1">
        <v>27</v>
      </c>
      <c r="BB44" s="1"/>
      <c r="BC44" s="1">
        <v>1</v>
      </c>
      <c r="BD44" s="1"/>
      <c r="BE44" s="1">
        <v>1</v>
      </c>
      <c r="BF44" s="1">
        <v>25</v>
      </c>
      <c r="BG44" s="9">
        <v>159</v>
      </c>
      <c r="BH44" s="1"/>
      <c r="BI44" s="1"/>
      <c r="BJ44" s="1">
        <v>30</v>
      </c>
      <c r="BK44" s="1">
        <v>1</v>
      </c>
      <c r="BL44" s="1"/>
      <c r="BM44" s="1">
        <v>7</v>
      </c>
      <c r="BN44" s="1"/>
      <c r="BO44" s="1">
        <v>1</v>
      </c>
      <c r="BP44" s="1">
        <v>10</v>
      </c>
      <c r="BQ44" s="1">
        <v>1</v>
      </c>
      <c r="BR44" s="1"/>
      <c r="BS44" s="1">
        <v>2</v>
      </c>
      <c r="BT44" s="1"/>
      <c r="BU44" s="1">
        <v>23</v>
      </c>
      <c r="BV44" s="1">
        <v>47</v>
      </c>
      <c r="BW44" s="1"/>
      <c r="BX44" s="1"/>
      <c r="BY44" s="1">
        <v>19</v>
      </c>
      <c r="BZ44" s="9">
        <v>141</v>
      </c>
      <c r="CA44" s="1"/>
      <c r="CB44" s="1"/>
      <c r="CC44" s="1">
        <v>1</v>
      </c>
      <c r="CD44" s="1">
        <v>3</v>
      </c>
      <c r="CE44" s="1"/>
      <c r="CF44" s="1"/>
      <c r="CG44" s="1">
        <v>1</v>
      </c>
      <c r="CH44" s="1">
        <v>1</v>
      </c>
      <c r="CI44" s="1">
        <v>6</v>
      </c>
      <c r="CJ44" s="1">
        <v>1</v>
      </c>
      <c r="CK44" s="1">
        <v>2</v>
      </c>
      <c r="CL44" s="1">
        <v>3</v>
      </c>
      <c r="CM44" s="1"/>
      <c r="CN44" s="1"/>
      <c r="CO44" s="1">
        <v>4</v>
      </c>
      <c r="CP44" s="1">
        <v>8</v>
      </c>
      <c r="CQ44" s="1">
        <v>3</v>
      </c>
      <c r="CR44" s="1">
        <v>1</v>
      </c>
      <c r="CS44" s="9">
        <v>34</v>
      </c>
      <c r="CT44" s="1"/>
      <c r="CU44" s="1"/>
      <c r="CV44" s="1">
        <v>2</v>
      </c>
      <c r="CW44" s="1"/>
      <c r="CX44" s="1"/>
      <c r="CY44" s="1"/>
      <c r="CZ44" s="1">
        <v>14</v>
      </c>
      <c r="DA44" s="1"/>
      <c r="DB44" s="1">
        <v>16</v>
      </c>
      <c r="DC44" s="1">
        <v>2</v>
      </c>
      <c r="DD44" s="1"/>
      <c r="DE44" s="1">
        <v>1</v>
      </c>
      <c r="DF44" s="1">
        <v>39</v>
      </c>
      <c r="DG44" s="1"/>
      <c r="DH44" s="1">
        <v>1</v>
      </c>
      <c r="DI44" s="1">
        <v>19</v>
      </c>
      <c r="DJ44" s="1"/>
      <c r="DK44" s="1"/>
      <c r="DL44" s="9">
        <v>94</v>
      </c>
      <c r="DM44" s="1"/>
      <c r="DN44" s="1">
        <v>6</v>
      </c>
      <c r="DO44" s="1">
        <v>16</v>
      </c>
      <c r="DP44" s="1">
        <v>6</v>
      </c>
      <c r="DQ44" s="1">
        <v>3</v>
      </c>
      <c r="DR44" s="1"/>
      <c r="DS44" s="1">
        <v>190</v>
      </c>
      <c r="DT44" s="1"/>
      <c r="DU44" s="1">
        <v>3</v>
      </c>
      <c r="DV44" s="1">
        <v>2</v>
      </c>
      <c r="DW44" s="1">
        <v>1</v>
      </c>
      <c r="DX44" s="1">
        <v>1</v>
      </c>
      <c r="DY44" s="1">
        <v>21</v>
      </c>
      <c r="DZ44" s="1"/>
      <c r="EA44" s="1">
        <v>22</v>
      </c>
      <c r="EB44" s="1"/>
      <c r="EC44" s="1"/>
      <c r="ED44" s="1">
        <v>12</v>
      </c>
      <c r="EE44" s="9">
        <v>283</v>
      </c>
      <c r="EF44" s="1"/>
      <c r="EG44" s="1"/>
      <c r="EH44" s="1">
        <v>2</v>
      </c>
      <c r="EI44" s="1"/>
      <c r="EJ44" s="1">
        <v>2</v>
      </c>
      <c r="EK44" s="1"/>
      <c r="EL44" s="1">
        <v>1</v>
      </c>
      <c r="EM44" s="1"/>
      <c r="EN44" s="1">
        <v>1</v>
      </c>
      <c r="EO44" s="1">
        <v>8</v>
      </c>
      <c r="EP44" s="1">
        <v>2</v>
      </c>
      <c r="EQ44" s="1"/>
      <c r="ER44" s="1">
        <v>1</v>
      </c>
      <c r="ES44" s="1"/>
      <c r="ET44" s="1">
        <v>9</v>
      </c>
      <c r="EU44" s="1">
        <v>1</v>
      </c>
      <c r="EV44" s="1"/>
      <c r="EW44" s="1">
        <v>1</v>
      </c>
      <c r="EX44" s="9">
        <v>28</v>
      </c>
      <c r="EY44" s="1"/>
      <c r="EZ44" s="1"/>
      <c r="FA44" s="1">
        <v>1</v>
      </c>
      <c r="FB44" s="1"/>
      <c r="FC44" s="1">
        <v>2</v>
      </c>
      <c r="FD44" s="1">
        <v>2</v>
      </c>
      <c r="FE44" s="1">
        <v>3</v>
      </c>
      <c r="FF44" s="1">
        <v>2</v>
      </c>
      <c r="FG44" s="1">
        <v>20</v>
      </c>
      <c r="FH44" s="1">
        <v>32</v>
      </c>
      <c r="FI44" s="1"/>
      <c r="FJ44" s="1">
        <v>9</v>
      </c>
      <c r="FK44" s="1">
        <v>3</v>
      </c>
      <c r="FL44" s="1">
        <v>2</v>
      </c>
      <c r="FM44" s="1">
        <v>4</v>
      </c>
      <c r="FN44" s="1"/>
      <c r="FO44" s="1"/>
      <c r="FP44" s="1">
        <v>1</v>
      </c>
      <c r="FQ44" s="9">
        <v>81</v>
      </c>
      <c r="FR44" s="1"/>
      <c r="FS44" s="1"/>
      <c r="FT44" s="1">
        <v>5</v>
      </c>
      <c r="FU44" s="1">
        <v>19</v>
      </c>
      <c r="FV44" s="1">
        <v>1</v>
      </c>
      <c r="FW44" s="1"/>
      <c r="FX44" s="1"/>
      <c r="FY44" s="1"/>
      <c r="FZ44" s="1"/>
      <c r="GA44" s="1"/>
      <c r="GB44" s="1">
        <v>1</v>
      </c>
      <c r="GC44" s="1">
        <v>1</v>
      </c>
      <c r="GD44" s="1"/>
      <c r="GE44" s="1"/>
      <c r="GF44" s="1">
        <v>32</v>
      </c>
      <c r="GG44" s="1"/>
      <c r="GH44" s="1">
        <v>4</v>
      </c>
      <c r="GI44" s="1">
        <v>4</v>
      </c>
      <c r="GJ44" s="9">
        <v>67</v>
      </c>
      <c r="GK44" s="1"/>
      <c r="GL44" s="1">
        <v>11</v>
      </c>
      <c r="GM44" s="1">
        <v>2</v>
      </c>
      <c r="GN44" s="1">
        <v>1</v>
      </c>
      <c r="GO44" s="1">
        <v>14</v>
      </c>
      <c r="GP44" s="1"/>
      <c r="GQ44" s="1"/>
      <c r="GR44" s="1"/>
      <c r="GS44" s="1"/>
      <c r="GT44" s="1">
        <v>1</v>
      </c>
      <c r="GU44" s="1"/>
      <c r="GV44" s="1">
        <v>1</v>
      </c>
      <c r="GW44" s="1">
        <v>2</v>
      </c>
      <c r="GX44" s="1"/>
      <c r="GY44" s="1">
        <v>2</v>
      </c>
      <c r="GZ44" s="1">
        <v>1</v>
      </c>
      <c r="HA44" s="1"/>
      <c r="HB44" s="1"/>
      <c r="HC44" s="9">
        <v>35</v>
      </c>
      <c r="HD44" s="1"/>
      <c r="HE44" s="1"/>
      <c r="HF44" s="1"/>
      <c r="HG44" s="1">
        <v>12</v>
      </c>
      <c r="HH44" s="1"/>
      <c r="HI44" s="1"/>
      <c r="HJ44" s="1"/>
      <c r="HK44" s="1"/>
      <c r="HL44" s="1"/>
      <c r="HM44" s="1"/>
      <c r="HN44" s="1"/>
      <c r="HO44" s="1"/>
      <c r="HP44" s="1">
        <v>43</v>
      </c>
      <c r="HQ44" s="1"/>
      <c r="HR44" s="1"/>
      <c r="HS44" s="1"/>
      <c r="HT44" s="1"/>
      <c r="HU44" s="1"/>
      <c r="HV44" s="9">
        <v>55</v>
      </c>
      <c r="HW44" s="1">
        <f t="shared" si="0"/>
        <v>1302</v>
      </c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</row>
    <row r="45" spans="1:249" s="6" customFormat="1" x14ac:dyDescent="0.4">
      <c r="A45" s="6" t="s">
        <v>48</v>
      </c>
      <c r="B45" s="6" t="s">
        <v>34</v>
      </c>
      <c r="C45" s="7">
        <v>1316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9">
        <v>1316</v>
      </c>
      <c r="V45" s="7">
        <v>656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H45" s="7">
        <v>0</v>
      </c>
      <c r="AI45" s="7">
        <v>0</v>
      </c>
      <c r="AJ45" s="7">
        <v>0</v>
      </c>
      <c r="AK45" s="7">
        <v>0</v>
      </c>
      <c r="AL45" s="7">
        <v>0</v>
      </c>
      <c r="AM45" s="7">
        <v>0</v>
      </c>
      <c r="AN45" s="9">
        <v>656</v>
      </c>
      <c r="AO45" s="7">
        <v>956</v>
      </c>
      <c r="AP45" s="7">
        <v>0</v>
      </c>
      <c r="AQ45" s="7">
        <v>0</v>
      </c>
      <c r="AR45" s="7">
        <v>0</v>
      </c>
      <c r="AS45" s="7">
        <v>0</v>
      </c>
      <c r="AT45" s="7">
        <v>0</v>
      </c>
      <c r="AU45" s="7">
        <v>0</v>
      </c>
      <c r="AV45" s="7">
        <v>0</v>
      </c>
      <c r="AW45" s="7">
        <v>0</v>
      </c>
      <c r="AX45" s="7">
        <v>0</v>
      </c>
      <c r="AY45" s="7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E45" s="7">
        <v>0</v>
      </c>
      <c r="BF45" s="7">
        <v>0</v>
      </c>
      <c r="BG45" s="9">
        <v>956</v>
      </c>
      <c r="BH45" s="7">
        <v>658</v>
      </c>
      <c r="BI45" s="7">
        <v>0</v>
      </c>
      <c r="BJ45" s="7">
        <v>0</v>
      </c>
      <c r="BK45" s="7">
        <v>0</v>
      </c>
      <c r="BL45" s="7">
        <v>0</v>
      </c>
      <c r="BM45" s="7">
        <v>0</v>
      </c>
      <c r="BN45" s="7">
        <v>0</v>
      </c>
      <c r="BO45" s="7">
        <v>0</v>
      </c>
      <c r="BP45" s="7">
        <v>0</v>
      </c>
      <c r="BQ45" s="7">
        <v>0</v>
      </c>
      <c r="BR45" s="7">
        <v>0</v>
      </c>
      <c r="BS45" s="7">
        <v>0</v>
      </c>
      <c r="BT45" s="7">
        <v>0</v>
      </c>
      <c r="BU45" s="7">
        <v>0</v>
      </c>
      <c r="BV45" s="7">
        <v>0</v>
      </c>
      <c r="BW45" s="7">
        <v>0</v>
      </c>
      <c r="BX45" s="7">
        <v>0</v>
      </c>
      <c r="BY45" s="7">
        <v>0</v>
      </c>
      <c r="BZ45" s="9">
        <v>658</v>
      </c>
      <c r="CA45" s="7">
        <v>776</v>
      </c>
      <c r="CB45" s="7">
        <v>0</v>
      </c>
      <c r="CC45" s="7">
        <v>0</v>
      </c>
      <c r="CD45" s="7">
        <v>0</v>
      </c>
      <c r="CE45" s="7">
        <v>0</v>
      </c>
      <c r="CF45" s="7">
        <v>0</v>
      </c>
      <c r="CG45" s="7">
        <v>0</v>
      </c>
      <c r="CH45" s="7">
        <v>0</v>
      </c>
      <c r="CI45" s="7">
        <v>0</v>
      </c>
      <c r="CJ45" s="7">
        <v>0</v>
      </c>
      <c r="CK45" s="7">
        <v>0</v>
      </c>
      <c r="CL45" s="7">
        <v>0</v>
      </c>
      <c r="CM45" s="7">
        <v>0</v>
      </c>
      <c r="CN45" s="7">
        <v>0</v>
      </c>
      <c r="CO45" s="7">
        <v>0</v>
      </c>
      <c r="CP45" s="7">
        <v>0</v>
      </c>
      <c r="CQ45" s="7">
        <v>0</v>
      </c>
      <c r="CR45" s="7">
        <v>0</v>
      </c>
      <c r="CS45" s="9">
        <v>776</v>
      </c>
      <c r="CT45" s="7">
        <v>848</v>
      </c>
      <c r="CU45" s="7">
        <v>0</v>
      </c>
      <c r="CV45" s="7">
        <v>0</v>
      </c>
      <c r="CW45" s="7">
        <v>0</v>
      </c>
      <c r="CX45" s="7">
        <v>0</v>
      </c>
      <c r="CY45" s="7">
        <v>0</v>
      </c>
      <c r="CZ45" s="7">
        <v>0</v>
      </c>
      <c r="DA45" s="7">
        <v>0</v>
      </c>
      <c r="DB45" s="7">
        <v>0</v>
      </c>
      <c r="DC45" s="7">
        <v>0</v>
      </c>
      <c r="DD45" s="7">
        <v>0</v>
      </c>
      <c r="DE45" s="7">
        <v>0</v>
      </c>
      <c r="DF45" s="7">
        <v>0</v>
      </c>
      <c r="DG45" s="7">
        <v>0</v>
      </c>
      <c r="DH45" s="7">
        <v>0</v>
      </c>
      <c r="DI45" s="7">
        <v>0</v>
      </c>
      <c r="DJ45" s="7">
        <v>0</v>
      </c>
      <c r="DK45" s="7">
        <v>0</v>
      </c>
      <c r="DL45" s="9">
        <v>848</v>
      </c>
      <c r="DM45" s="7">
        <v>756</v>
      </c>
      <c r="DN45" s="7">
        <v>0</v>
      </c>
      <c r="DO45" s="7">
        <v>0</v>
      </c>
      <c r="DP45" s="7">
        <v>0</v>
      </c>
      <c r="DQ45" s="7">
        <v>0</v>
      </c>
      <c r="DR45" s="7">
        <v>0</v>
      </c>
      <c r="DS45" s="7">
        <v>0</v>
      </c>
      <c r="DT45" s="7">
        <v>0</v>
      </c>
      <c r="DU45" s="7">
        <v>0</v>
      </c>
      <c r="DV45" s="7">
        <v>0</v>
      </c>
      <c r="DW45" s="7">
        <v>0</v>
      </c>
      <c r="DX45" s="7">
        <v>0</v>
      </c>
      <c r="DY45" s="7">
        <v>0</v>
      </c>
      <c r="DZ45" s="7">
        <v>0</v>
      </c>
      <c r="EA45" s="7">
        <v>0</v>
      </c>
      <c r="EB45" s="7">
        <v>0</v>
      </c>
      <c r="EC45" s="7">
        <v>0</v>
      </c>
      <c r="ED45" s="7">
        <v>0</v>
      </c>
      <c r="EE45" s="9">
        <v>756</v>
      </c>
      <c r="EF45" s="7">
        <v>744</v>
      </c>
      <c r="EG45" s="7">
        <v>0</v>
      </c>
      <c r="EH45" s="7">
        <v>0</v>
      </c>
      <c r="EI45" s="7">
        <v>0</v>
      </c>
      <c r="EJ45" s="7">
        <v>0</v>
      </c>
      <c r="EK45" s="7">
        <v>0</v>
      </c>
      <c r="EL45" s="7">
        <v>0</v>
      </c>
      <c r="EM45" s="7">
        <v>0</v>
      </c>
      <c r="EN45" s="7">
        <v>0</v>
      </c>
      <c r="EO45" s="7">
        <v>0</v>
      </c>
      <c r="EP45" s="7">
        <v>0</v>
      </c>
      <c r="EQ45" s="7">
        <v>0</v>
      </c>
      <c r="ER45" s="7">
        <v>0</v>
      </c>
      <c r="ES45" s="7">
        <v>0</v>
      </c>
      <c r="ET45" s="7">
        <v>0</v>
      </c>
      <c r="EU45" s="7">
        <v>0</v>
      </c>
      <c r="EV45" s="7">
        <v>0</v>
      </c>
      <c r="EW45" s="7">
        <v>0</v>
      </c>
      <c r="EX45" s="9">
        <v>744</v>
      </c>
      <c r="EY45" s="7">
        <v>766</v>
      </c>
      <c r="EZ45" s="7">
        <v>0</v>
      </c>
      <c r="FA45" s="7">
        <v>0</v>
      </c>
      <c r="FB45" s="7">
        <v>0</v>
      </c>
      <c r="FC45" s="7">
        <v>0</v>
      </c>
      <c r="FD45" s="7">
        <v>0</v>
      </c>
      <c r="FE45" s="7">
        <v>0</v>
      </c>
      <c r="FF45" s="7">
        <v>0</v>
      </c>
      <c r="FG45" s="7">
        <v>0</v>
      </c>
      <c r="FH45" s="7">
        <v>0</v>
      </c>
      <c r="FI45" s="7">
        <v>0</v>
      </c>
      <c r="FJ45" s="7">
        <v>0</v>
      </c>
      <c r="FK45" s="7">
        <v>0</v>
      </c>
      <c r="FL45" s="7">
        <v>0</v>
      </c>
      <c r="FM45" s="7">
        <v>0</v>
      </c>
      <c r="FN45" s="7">
        <v>0</v>
      </c>
      <c r="FO45" s="7">
        <v>0</v>
      </c>
      <c r="FP45" s="7">
        <v>0</v>
      </c>
      <c r="FQ45" s="9">
        <v>766</v>
      </c>
      <c r="FR45" s="7">
        <v>590</v>
      </c>
      <c r="FS45" s="7">
        <v>0</v>
      </c>
      <c r="FT45" s="7">
        <v>0</v>
      </c>
      <c r="FU45" s="7">
        <v>0</v>
      </c>
      <c r="FV45" s="7">
        <v>0</v>
      </c>
      <c r="FW45" s="7">
        <v>0</v>
      </c>
      <c r="FX45" s="7">
        <v>0</v>
      </c>
      <c r="FY45" s="7">
        <v>0</v>
      </c>
      <c r="FZ45" s="7">
        <v>0</v>
      </c>
      <c r="GA45" s="7">
        <v>0</v>
      </c>
      <c r="GB45" s="7">
        <v>0</v>
      </c>
      <c r="GC45" s="7">
        <v>0</v>
      </c>
      <c r="GD45" s="7">
        <v>0</v>
      </c>
      <c r="GE45" s="7">
        <v>0</v>
      </c>
      <c r="GF45" s="7">
        <v>0</v>
      </c>
      <c r="GG45" s="7">
        <v>0</v>
      </c>
      <c r="GH45" s="7">
        <v>0</v>
      </c>
      <c r="GI45" s="7">
        <v>0</v>
      </c>
      <c r="GJ45" s="9">
        <v>590</v>
      </c>
      <c r="GK45" s="7">
        <v>558</v>
      </c>
      <c r="GL45" s="7">
        <v>0</v>
      </c>
      <c r="GM45" s="7">
        <v>0</v>
      </c>
      <c r="GN45" s="7">
        <v>0</v>
      </c>
      <c r="GO45" s="7">
        <v>0</v>
      </c>
      <c r="GP45" s="7">
        <v>0</v>
      </c>
      <c r="GQ45" s="7">
        <v>0</v>
      </c>
      <c r="GR45" s="7">
        <v>0</v>
      </c>
      <c r="GS45" s="7">
        <v>0</v>
      </c>
      <c r="GT45" s="7">
        <v>0</v>
      </c>
      <c r="GU45" s="7">
        <v>0</v>
      </c>
      <c r="GV45" s="7">
        <v>0</v>
      </c>
      <c r="GW45" s="7">
        <v>0</v>
      </c>
      <c r="GX45" s="7">
        <v>0</v>
      </c>
      <c r="GY45" s="7">
        <v>0</v>
      </c>
      <c r="GZ45" s="7">
        <v>0</v>
      </c>
      <c r="HA45" s="7">
        <v>0</v>
      </c>
      <c r="HB45" s="7">
        <v>0</v>
      </c>
      <c r="HC45" s="9">
        <v>558</v>
      </c>
      <c r="HD45" s="7">
        <v>654</v>
      </c>
      <c r="HE45" s="7">
        <v>0</v>
      </c>
      <c r="HF45" s="7">
        <v>0</v>
      </c>
      <c r="HG45" s="7">
        <v>0</v>
      </c>
      <c r="HH45" s="7">
        <v>0</v>
      </c>
      <c r="HI45" s="7">
        <v>0</v>
      </c>
      <c r="HJ45" s="7">
        <v>0</v>
      </c>
      <c r="HK45" s="7">
        <v>0</v>
      </c>
      <c r="HL45" s="7">
        <v>0</v>
      </c>
      <c r="HM45" s="7">
        <v>0</v>
      </c>
      <c r="HN45" s="7">
        <v>0</v>
      </c>
      <c r="HO45" s="7">
        <v>0</v>
      </c>
      <c r="HP45" s="7">
        <v>0</v>
      </c>
      <c r="HQ45" s="7">
        <v>0</v>
      </c>
      <c r="HR45" s="7">
        <v>0</v>
      </c>
      <c r="HS45" s="7">
        <v>0</v>
      </c>
      <c r="HT45" s="7">
        <v>0</v>
      </c>
      <c r="HU45" s="7">
        <v>0</v>
      </c>
      <c r="HV45" s="9">
        <v>654</v>
      </c>
      <c r="HW45" s="7">
        <f t="shared" si="0"/>
        <v>9278</v>
      </c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</row>
    <row r="46" spans="1:249" x14ac:dyDescent="0.4">
      <c r="A46" t="s">
        <v>48</v>
      </c>
      <c r="B46" t="s">
        <v>36</v>
      </c>
      <c r="C46" s="1">
        <v>4374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9">
        <v>4374</v>
      </c>
      <c r="V46" s="1">
        <v>2841</v>
      </c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9">
        <v>2841</v>
      </c>
      <c r="AO46" s="1">
        <v>3926</v>
      </c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9">
        <v>3926</v>
      </c>
      <c r="BH46" s="1">
        <v>3707</v>
      </c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9">
        <v>3707</v>
      </c>
      <c r="CA46" s="1">
        <v>3606</v>
      </c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9">
        <v>3606</v>
      </c>
      <c r="CT46" s="1">
        <v>3462</v>
      </c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9">
        <v>3462</v>
      </c>
      <c r="DM46" s="1">
        <v>3522</v>
      </c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9">
        <v>3522</v>
      </c>
      <c r="EF46" s="1">
        <v>3242</v>
      </c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9">
        <v>3242</v>
      </c>
      <c r="EY46" s="1">
        <v>3498</v>
      </c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9">
        <v>3498</v>
      </c>
      <c r="FR46" s="1">
        <v>2697</v>
      </c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9">
        <v>2697</v>
      </c>
      <c r="GK46" s="1">
        <v>2743</v>
      </c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9">
        <v>2743</v>
      </c>
      <c r="HD46" s="1">
        <v>1841</v>
      </c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9">
        <v>1841</v>
      </c>
      <c r="HW46" s="1">
        <f t="shared" si="0"/>
        <v>39459</v>
      </c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</row>
    <row r="47" spans="1:249" s="6" customFormat="1" x14ac:dyDescent="0.4">
      <c r="A47" s="6" t="s">
        <v>48</v>
      </c>
      <c r="B47" s="6" t="s">
        <v>20</v>
      </c>
      <c r="C47" s="7">
        <f>U47</f>
        <v>24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9">
        <v>24</v>
      </c>
      <c r="V47" s="7">
        <f>AN47</f>
        <v>27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9">
        <v>27</v>
      </c>
      <c r="AO47" s="7">
        <f>BG47</f>
        <v>24</v>
      </c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9">
        <v>24</v>
      </c>
      <c r="BH47" s="7">
        <f>BZ47</f>
        <v>38</v>
      </c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9">
        <v>38</v>
      </c>
      <c r="CA47" s="7">
        <f>CS47</f>
        <v>25</v>
      </c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9">
        <v>25</v>
      </c>
      <c r="CT47" s="7">
        <f>DL47</f>
        <v>36</v>
      </c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9">
        <v>36</v>
      </c>
      <c r="DM47" s="7">
        <f>EE47</f>
        <v>24</v>
      </c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9">
        <v>24</v>
      </c>
      <c r="EF47" s="7">
        <f>EX47</f>
        <v>20</v>
      </c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9">
        <v>20</v>
      </c>
      <c r="EY47" s="7">
        <f>FQ47</f>
        <v>34</v>
      </c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9">
        <v>34</v>
      </c>
      <c r="FR47" s="7">
        <f>GJ47</f>
        <v>17</v>
      </c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9">
        <v>17</v>
      </c>
      <c r="GK47" s="7">
        <f>HC47</f>
        <v>12</v>
      </c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9">
        <v>12</v>
      </c>
      <c r="HD47" s="7">
        <f>HV47</f>
        <v>41</v>
      </c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9">
        <v>41</v>
      </c>
      <c r="HW47" s="7">
        <f t="shared" si="0"/>
        <v>322</v>
      </c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</row>
    <row r="48" spans="1:249" x14ac:dyDescent="0.4">
      <c r="A48" t="s">
        <v>48</v>
      </c>
      <c r="B48" t="s">
        <v>103</v>
      </c>
      <c r="C48" s="1">
        <f t="shared" ref="C48:C53" si="1">U48</f>
        <v>196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9">
        <v>196</v>
      </c>
      <c r="V48" s="1">
        <f t="shared" ref="V48:V53" si="2">AN48</f>
        <v>100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9">
        <v>100</v>
      </c>
      <c r="AO48" s="1">
        <f t="shared" ref="AO48:AO53" si="3">BG48</f>
        <v>232</v>
      </c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9">
        <v>232</v>
      </c>
      <c r="BH48" s="1">
        <f t="shared" ref="BH48:BH53" si="4">BZ48</f>
        <v>172</v>
      </c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9">
        <v>172</v>
      </c>
      <c r="CA48" s="1">
        <f t="shared" ref="CA48:CA53" si="5">CS48</f>
        <v>159</v>
      </c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9">
        <v>159</v>
      </c>
      <c r="CT48" s="1">
        <f t="shared" ref="CT48:CT53" si="6">DL48</f>
        <v>192</v>
      </c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9">
        <v>192</v>
      </c>
      <c r="DM48" s="1">
        <f t="shared" ref="DM48:DM53" si="7">EE48</f>
        <v>243</v>
      </c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9">
        <v>243</v>
      </c>
      <c r="EF48" s="1">
        <f t="shared" ref="EF48:EF53" si="8">EX48</f>
        <v>188</v>
      </c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9">
        <v>188</v>
      </c>
      <c r="EY48" s="1">
        <f t="shared" ref="EY48:EY53" si="9">FQ48</f>
        <v>130</v>
      </c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9">
        <v>130</v>
      </c>
      <c r="FR48" s="1">
        <f t="shared" ref="FR48:FR53" si="10">GJ48</f>
        <v>170</v>
      </c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9">
        <v>170</v>
      </c>
      <c r="GK48" s="1">
        <f t="shared" ref="GK48:GK53" si="11">HC48</f>
        <v>224</v>
      </c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9">
        <v>224</v>
      </c>
      <c r="HD48" s="1">
        <f t="shared" ref="HD48:HD53" si="12">HV48</f>
        <v>214</v>
      </c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9">
        <v>214</v>
      </c>
      <c r="HW48" s="1">
        <f t="shared" si="0"/>
        <v>2220</v>
      </c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</row>
    <row r="49" spans="1:249" s="6" customFormat="1" x14ac:dyDescent="0.4">
      <c r="A49" s="6" t="s">
        <v>48</v>
      </c>
      <c r="B49" s="6" t="s">
        <v>15</v>
      </c>
      <c r="C49" s="7">
        <f t="shared" si="1"/>
        <v>41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9">
        <v>41</v>
      </c>
      <c r="V49" s="7">
        <f t="shared" si="2"/>
        <v>25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9">
        <v>25</v>
      </c>
      <c r="AO49" s="7">
        <f t="shared" si="3"/>
        <v>37</v>
      </c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9">
        <v>37</v>
      </c>
      <c r="BH49" s="7">
        <f t="shared" si="4"/>
        <v>21</v>
      </c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9">
        <v>21</v>
      </c>
      <c r="CA49" s="7">
        <f t="shared" si="5"/>
        <v>30</v>
      </c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9">
        <v>30</v>
      </c>
      <c r="CT49" s="7">
        <f t="shared" si="6"/>
        <v>14</v>
      </c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9">
        <v>14</v>
      </c>
      <c r="DM49" s="7">
        <f t="shared" si="7"/>
        <v>5</v>
      </c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9">
        <v>5</v>
      </c>
      <c r="EF49" s="7">
        <f t="shared" si="8"/>
        <v>8</v>
      </c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9">
        <v>8</v>
      </c>
      <c r="EY49" s="7">
        <f t="shared" si="9"/>
        <v>9</v>
      </c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9">
        <v>9</v>
      </c>
      <c r="FR49" s="7">
        <f t="shared" si="10"/>
        <v>7</v>
      </c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9">
        <v>7</v>
      </c>
      <c r="GK49" s="7">
        <f t="shared" si="11"/>
        <v>3</v>
      </c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9">
        <v>3</v>
      </c>
      <c r="HD49" s="7">
        <f t="shared" si="12"/>
        <v>0</v>
      </c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9"/>
      <c r="HW49" s="7">
        <f t="shared" si="0"/>
        <v>200</v>
      </c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</row>
    <row r="50" spans="1:249" x14ac:dyDescent="0.4">
      <c r="A50" t="s">
        <v>48</v>
      </c>
      <c r="B50" t="s">
        <v>23</v>
      </c>
      <c r="C50" s="1">
        <f t="shared" si="1"/>
        <v>436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9">
        <v>436</v>
      </c>
      <c r="V50" s="1">
        <f t="shared" si="2"/>
        <v>316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9">
        <v>316</v>
      </c>
      <c r="AO50" s="1">
        <f t="shared" si="3"/>
        <v>200</v>
      </c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9">
        <v>200</v>
      </c>
      <c r="BH50" s="1">
        <f t="shared" si="4"/>
        <v>381</v>
      </c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9">
        <v>381</v>
      </c>
      <c r="CA50" s="1">
        <f t="shared" si="5"/>
        <v>471</v>
      </c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9">
        <v>471</v>
      </c>
      <c r="CT50" s="1">
        <f t="shared" si="6"/>
        <v>345</v>
      </c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9">
        <v>345</v>
      </c>
      <c r="DM50" s="1">
        <f t="shared" si="7"/>
        <v>192</v>
      </c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9">
        <v>192</v>
      </c>
      <c r="EF50" s="1">
        <f t="shared" si="8"/>
        <v>191</v>
      </c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9">
        <v>191</v>
      </c>
      <c r="EY50" s="1">
        <f t="shared" si="9"/>
        <v>258</v>
      </c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9">
        <v>258</v>
      </c>
      <c r="FR50" s="1">
        <f t="shared" si="10"/>
        <v>193</v>
      </c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9">
        <v>193</v>
      </c>
      <c r="GK50" s="1">
        <f t="shared" si="11"/>
        <v>291</v>
      </c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9">
        <v>291</v>
      </c>
      <c r="HD50" s="1">
        <f t="shared" si="12"/>
        <v>30</v>
      </c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9">
        <v>30</v>
      </c>
      <c r="HW50" s="1">
        <f t="shared" si="0"/>
        <v>3304</v>
      </c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</row>
    <row r="51" spans="1:249" s="6" customFormat="1" x14ac:dyDescent="0.4">
      <c r="A51" s="6" t="s">
        <v>48</v>
      </c>
      <c r="B51" s="6" t="s">
        <v>30</v>
      </c>
      <c r="C51" s="7">
        <f t="shared" si="1"/>
        <v>29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9">
        <v>29</v>
      </c>
      <c r="V51" s="7">
        <f t="shared" si="2"/>
        <v>47</v>
      </c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9">
        <v>47</v>
      </c>
      <c r="AO51" s="7">
        <f t="shared" si="3"/>
        <v>24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9">
        <v>24</v>
      </c>
      <c r="BH51" s="7">
        <f t="shared" si="4"/>
        <v>29</v>
      </c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9">
        <v>29</v>
      </c>
      <c r="CA51" s="7">
        <f t="shared" si="5"/>
        <v>154</v>
      </c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9">
        <v>154</v>
      </c>
      <c r="CT51" s="7">
        <f t="shared" si="6"/>
        <v>34</v>
      </c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9">
        <v>34</v>
      </c>
      <c r="DM51" s="7">
        <f t="shared" si="7"/>
        <v>27</v>
      </c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9">
        <v>27</v>
      </c>
      <c r="EF51" s="7">
        <f t="shared" si="8"/>
        <v>26</v>
      </c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9">
        <v>26</v>
      </c>
      <c r="EY51" s="7">
        <f t="shared" si="9"/>
        <v>56</v>
      </c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9">
        <v>56</v>
      </c>
      <c r="FR51" s="7">
        <f t="shared" si="10"/>
        <v>16</v>
      </c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9">
        <v>16</v>
      </c>
      <c r="GK51" s="7">
        <f t="shared" si="11"/>
        <v>22</v>
      </c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9">
        <v>22</v>
      </c>
      <c r="HD51" s="7">
        <f t="shared" si="12"/>
        <v>25</v>
      </c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9">
        <v>25</v>
      </c>
      <c r="HW51" s="7">
        <f t="shared" si="0"/>
        <v>489</v>
      </c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</row>
    <row r="52" spans="1:249" s="6" customFormat="1" x14ac:dyDescent="0.4">
      <c r="A52" s="6" t="s">
        <v>48</v>
      </c>
      <c r="B52" s="6" t="s">
        <v>104</v>
      </c>
      <c r="C52" s="7">
        <f t="shared" si="1"/>
        <v>16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9">
        <v>16</v>
      </c>
      <c r="V52" s="7">
        <f t="shared" si="2"/>
        <v>5</v>
      </c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9">
        <v>5</v>
      </c>
      <c r="AO52" s="7">
        <f t="shared" si="3"/>
        <v>8</v>
      </c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9">
        <v>8</v>
      </c>
      <c r="BH52" s="7">
        <f t="shared" si="4"/>
        <v>3</v>
      </c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9">
        <v>3</v>
      </c>
      <c r="CA52" s="7">
        <f t="shared" si="5"/>
        <v>9</v>
      </c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9">
        <v>9</v>
      </c>
      <c r="CT52" s="7">
        <f t="shared" si="6"/>
        <v>4</v>
      </c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9">
        <v>4</v>
      </c>
      <c r="DM52" s="7">
        <f t="shared" si="7"/>
        <v>8</v>
      </c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9">
        <v>8</v>
      </c>
      <c r="EF52" s="7">
        <f t="shared" si="8"/>
        <v>4</v>
      </c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9">
        <v>4</v>
      </c>
      <c r="EY52" s="7">
        <f t="shared" si="9"/>
        <v>1</v>
      </c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9">
        <v>1</v>
      </c>
      <c r="FR52" s="7">
        <f t="shared" si="10"/>
        <v>1</v>
      </c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9">
        <v>1</v>
      </c>
      <c r="GK52" s="7">
        <f t="shared" si="11"/>
        <v>2</v>
      </c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9">
        <v>2</v>
      </c>
      <c r="HD52" s="7">
        <f t="shared" si="12"/>
        <v>0</v>
      </c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9"/>
      <c r="HW52" s="7">
        <f t="shared" si="0"/>
        <v>61</v>
      </c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</row>
    <row r="53" spans="1:249" x14ac:dyDescent="0.4">
      <c r="A53" t="s">
        <v>48</v>
      </c>
      <c r="B53" t="s">
        <v>26</v>
      </c>
      <c r="C53" s="1">
        <f t="shared" si="1"/>
        <v>56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9">
        <v>56</v>
      </c>
      <c r="V53" s="1">
        <f t="shared" si="2"/>
        <v>67</v>
      </c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9">
        <v>67</v>
      </c>
      <c r="AO53" s="1">
        <f t="shared" si="3"/>
        <v>63</v>
      </c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9">
        <v>63</v>
      </c>
      <c r="BH53" s="1">
        <f t="shared" si="4"/>
        <v>40</v>
      </c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9">
        <v>40</v>
      </c>
      <c r="CA53" s="1">
        <f t="shared" si="5"/>
        <v>71</v>
      </c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9">
        <v>71</v>
      </c>
      <c r="CT53" s="1">
        <f t="shared" si="6"/>
        <v>18</v>
      </c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9">
        <v>18</v>
      </c>
      <c r="DM53" s="1">
        <f t="shared" si="7"/>
        <v>20</v>
      </c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9">
        <v>20</v>
      </c>
      <c r="EF53" s="1">
        <f t="shared" si="8"/>
        <v>49</v>
      </c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9">
        <v>49</v>
      </c>
      <c r="EY53" s="1">
        <f t="shared" si="9"/>
        <v>58</v>
      </c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9">
        <v>58</v>
      </c>
      <c r="FR53" s="1">
        <f t="shared" si="10"/>
        <v>75</v>
      </c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9">
        <v>75</v>
      </c>
      <c r="GK53" s="1">
        <f t="shared" si="11"/>
        <v>126</v>
      </c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9">
        <v>126</v>
      </c>
      <c r="HD53" s="1">
        <f t="shared" si="12"/>
        <v>13</v>
      </c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9">
        <v>13</v>
      </c>
      <c r="HW53" s="1">
        <f t="shared" si="0"/>
        <v>656</v>
      </c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</row>
    <row r="54" spans="1:249" x14ac:dyDescent="0.4">
      <c r="B54" t="s">
        <v>41</v>
      </c>
      <c r="C54">
        <v>36437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s="9">
        <v>36437</v>
      </c>
      <c r="V54" s="1">
        <f t="shared" ref="V54:AE55" si="13">C15</f>
        <v>36666</v>
      </c>
      <c r="W54" s="1">
        <f t="shared" si="13"/>
        <v>0</v>
      </c>
      <c r="X54" s="1">
        <f t="shared" si="13"/>
        <v>0</v>
      </c>
      <c r="Y54" s="1">
        <f t="shared" si="13"/>
        <v>0</v>
      </c>
      <c r="Z54" s="1">
        <f t="shared" si="13"/>
        <v>0</v>
      </c>
      <c r="AA54" s="1">
        <f t="shared" si="13"/>
        <v>0</v>
      </c>
      <c r="AB54" s="1">
        <f t="shared" si="13"/>
        <v>0</v>
      </c>
      <c r="AC54" s="1">
        <f t="shared" si="13"/>
        <v>0</v>
      </c>
      <c r="AD54" s="1">
        <f t="shared" si="13"/>
        <v>0</v>
      </c>
      <c r="AE54" s="1">
        <f t="shared" si="13"/>
        <v>0</v>
      </c>
      <c r="AF54" s="1">
        <f t="shared" ref="AF54:AN55" si="14">M15</f>
        <v>0</v>
      </c>
      <c r="AG54" s="1">
        <f t="shared" si="14"/>
        <v>0</v>
      </c>
      <c r="AH54" s="1">
        <f t="shared" si="14"/>
        <v>0</v>
      </c>
      <c r="AI54" s="1">
        <f t="shared" si="14"/>
        <v>0</v>
      </c>
      <c r="AJ54" s="1">
        <f t="shared" si="14"/>
        <v>0</v>
      </c>
      <c r="AK54" s="1">
        <f t="shared" si="14"/>
        <v>0</v>
      </c>
      <c r="AL54" s="1">
        <f t="shared" si="14"/>
        <v>0</v>
      </c>
      <c r="AM54" s="1">
        <f t="shared" si="14"/>
        <v>0</v>
      </c>
      <c r="AN54" s="9">
        <f t="shared" si="14"/>
        <v>36666</v>
      </c>
      <c r="AO54" s="1">
        <f t="shared" ref="AO54:CZ54" si="15">V15</f>
        <v>36954</v>
      </c>
      <c r="AP54" s="1">
        <f t="shared" si="15"/>
        <v>0</v>
      </c>
      <c r="AQ54" s="1">
        <f t="shared" si="15"/>
        <v>0</v>
      </c>
      <c r="AR54" s="1">
        <f t="shared" si="15"/>
        <v>0</v>
      </c>
      <c r="AS54" s="1">
        <f t="shared" si="15"/>
        <v>0</v>
      </c>
      <c r="AT54" s="1">
        <f t="shared" si="15"/>
        <v>0</v>
      </c>
      <c r="AU54" s="1">
        <f t="shared" si="15"/>
        <v>0</v>
      </c>
      <c r="AV54" s="1">
        <f t="shared" si="15"/>
        <v>0</v>
      </c>
      <c r="AW54" s="1">
        <f t="shared" si="15"/>
        <v>0</v>
      </c>
      <c r="AX54" s="1">
        <f t="shared" si="15"/>
        <v>0</v>
      </c>
      <c r="AY54" s="1">
        <f t="shared" si="15"/>
        <v>0</v>
      </c>
      <c r="AZ54" s="1">
        <f t="shared" si="15"/>
        <v>0</v>
      </c>
      <c r="BA54" s="1">
        <f t="shared" si="15"/>
        <v>0</v>
      </c>
      <c r="BB54" s="1">
        <f t="shared" si="15"/>
        <v>0</v>
      </c>
      <c r="BC54" s="1">
        <f t="shared" si="15"/>
        <v>0</v>
      </c>
      <c r="BD54" s="1">
        <f t="shared" si="15"/>
        <v>0</v>
      </c>
      <c r="BE54" s="1">
        <f t="shared" si="15"/>
        <v>0</v>
      </c>
      <c r="BF54" s="1">
        <f t="shared" si="15"/>
        <v>0</v>
      </c>
      <c r="BG54" s="9">
        <f t="shared" si="15"/>
        <v>36954</v>
      </c>
      <c r="BH54" s="1">
        <f t="shared" si="15"/>
        <v>37186</v>
      </c>
      <c r="BI54" s="1">
        <f t="shared" si="15"/>
        <v>0</v>
      </c>
      <c r="BJ54" s="1">
        <f t="shared" si="15"/>
        <v>0</v>
      </c>
      <c r="BK54" s="1">
        <f t="shared" si="15"/>
        <v>0</v>
      </c>
      <c r="BL54" s="1">
        <f t="shared" si="15"/>
        <v>0</v>
      </c>
      <c r="BM54" s="1">
        <f t="shared" si="15"/>
        <v>0</v>
      </c>
      <c r="BN54" s="1">
        <f t="shared" si="15"/>
        <v>0</v>
      </c>
      <c r="BO54" s="1">
        <f t="shared" si="15"/>
        <v>0</v>
      </c>
      <c r="BP54" s="1">
        <f t="shared" si="15"/>
        <v>0</v>
      </c>
      <c r="BQ54" s="1">
        <f t="shared" si="15"/>
        <v>0</v>
      </c>
      <c r="BR54" s="1">
        <f t="shared" si="15"/>
        <v>0</v>
      </c>
      <c r="BS54" s="1">
        <f t="shared" si="15"/>
        <v>0</v>
      </c>
      <c r="BT54" s="1">
        <f t="shared" si="15"/>
        <v>0</v>
      </c>
      <c r="BU54" s="1">
        <f t="shared" si="15"/>
        <v>0</v>
      </c>
      <c r="BV54" s="1">
        <f t="shared" si="15"/>
        <v>0</v>
      </c>
      <c r="BW54" s="1">
        <f t="shared" si="15"/>
        <v>0</v>
      </c>
      <c r="BX54" s="1">
        <f t="shared" si="15"/>
        <v>0</v>
      </c>
      <c r="BY54" s="1">
        <f t="shared" si="15"/>
        <v>0</v>
      </c>
      <c r="BZ54" s="9">
        <f t="shared" si="15"/>
        <v>37186</v>
      </c>
      <c r="CA54" s="1">
        <f t="shared" si="15"/>
        <v>37408</v>
      </c>
      <c r="CB54" s="1">
        <f t="shared" si="15"/>
        <v>0</v>
      </c>
      <c r="CC54" s="1">
        <f t="shared" si="15"/>
        <v>0</v>
      </c>
      <c r="CD54" s="1">
        <f t="shared" si="15"/>
        <v>0</v>
      </c>
      <c r="CE54" s="1">
        <f t="shared" si="15"/>
        <v>0</v>
      </c>
      <c r="CF54" s="1">
        <f t="shared" si="15"/>
        <v>0</v>
      </c>
      <c r="CG54" s="1">
        <f t="shared" si="15"/>
        <v>0</v>
      </c>
      <c r="CH54" s="1">
        <f t="shared" si="15"/>
        <v>0</v>
      </c>
      <c r="CI54" s="1">
        <f t="shared" si="15"/>
        <v>0</v>
      </c>
      <c r="CJ54" s="1">
        <f t="shared" si="15"/>
        <v>0</v>
      </c>
      <c r="CK54" s="1">
        <f t="shared" si="15"/>
        <v>0</v>
      </c>
      <c r="CL54" s="1">
        <f t="shared" si="15"/>
        <v>0</v>
      </c>
      <c r="CM54" s="1">
        <f t="shared" si="15"/>
        <v>0</v>
      </c>
      <c r="CN54" s="1">
        <f t="shared" si="15"/>
        <v>0</v>
      </c>
      <c r="CO54" s="1">
        <f t="shared" si="15"/>
        <v>0</v>
      </c>
      <c r="CP54" s="1">
        <f t="shared" si="15"/>
        <v>0</v>
      </c>
      <c r="CQ54" s="1">
        <f t="shared" si="15"/>
        <v>0</v>
      </c>
      <c r="CR54" s="1">
        <f t="shared" si="15"/>
        <v>0</v>
      </c>
      <c r="CS54" s="9">
        <f t="shared" si="15"/>
        <v>37408</v>
      </c>
      <c r="CT54" s="1">
        <f t="shared" si="15"/>
        <v>37811</v>
      </c>
      <c r="CU54" s="1">
        <f t="shared" si="15"/>
        <v>0</v>
      </c>
      <c r="CV54" s="1">
        <f t="shared" si="15"/>
        <v>0</v>
      </c>
      <c r="CW54" s="1">
        <f t="shared" si="15"/>
        <v>0</v>
      </c>
      <c r="CX54" s="1">
        <f t="shared" si="15"/>
        <v>0</v>
      </c>
      <c r="CY54" s="1">
        <f t="shared" si="15"/>
        <v>0</v>
      </c>
      <c r="CZ54" s="1">
        <f t="shared" si="15"/>
        <v>0</v>
      </c>
      <c r="DA54" s="1">
        <f t="shared" ref="DA54:FL54" si="16">CH15</f>
        <v>0</v>
      </c>
      <c r="DB54" s="1">
        <f t="shared" si="16"/>
        <v>0</v>
      </c>
      <c r="DC54" s="1">
        <f t="shared" si="16"/>
        <v>0</v>
      </c>
      <c r="DD54" s="1">
        <f t="shared" si="16"/>
        <v>0</v>
      </c>
      <c r="DE54" s="1">
        <f t="shared" si="16"/>
        <v>0</v>
      </c>
      <c r="DF54" s="1">
        <f t="shared" si="16"/>
        <v>0</v>
      </c>
      <c r="DG54" s="1">
        <f t="shared" si="16"/>
        <v>0</v>
      </c>
      <c r="DH54" s="1">
        <f t="shared" si="16"/>
        <v>0</v>
      </c>
      <c r="DI54" s="1">
        <f t="shared" si="16"/>
        <v>0</v>
      </c>
      <c r="DJ54" s="1">
        <f t="shared" si="16"/>
        <v>0</v>
      </c>
      <c r="DK54" s="1">
        <f t="shared" si="16"/>
        <v>0</v>
      </c>
      <c r="DL54" s="9">
        <f t="shared" si="16"/>
        <v>37811</v>
      </c>
      <c r="DM54" s="1">
        <f t="shared" si="16"/>
        <v>37838</v>
      </c>
      <c r="DN54" s="1">
        <f t="shared" si="16"/>
        <v>0</v>
      </c>
      <c r="DO54" s="1">
        <f t="shared" si="16"/>
        <v>0</v>
      </c>
      <c r="DP54" s="1">
        <f t="shared" si="16"/>
        <v>0</v>
      </c>
      <c r="DQ54" s="1">
        <f t="shared" si="16"/>
        <v>0</v>
      </c>
      <c r="DR54" s="1">
        <f t="shared" si="16"/>
        <v>0</v>
      </c>
      <c r="DS54" s="1">
        <f t="shared" si="16"/>
        <v>0</v>
      </c>
      <c r="DT54" s="1">
        <f t="shared" si="16"/>
        <v>0</v>
      </c>
      <c r="DU54" s="1">
        <f t="shared" si="16"/>
        <v>0</v>
      </c>
      <c r="DV54" s="1">
        <f t="shared" si="16"/>
        <v>0</v>
      </c>
      <c r="DW54" s="1">
        <f t="shared" si="16"/>
        <v>0</v>
      </c>
      <c r="DX54" s="1">
        <f t="shared" si="16"/>
        <v>0</v>
      </c>
      <c r="DY54" s="1">
        <f t="shared" si="16"/>
        <v>0</v>
      </c>
      <c r="DZ54" s="1">
        <f t="shared" si="16"/>
        <v>0</v>
      </c>
      <c r="EA54" s="1">
        <f t="shared" si="16"/>
        <v>0</v>
      </c>
      <c r="EB54" s="1">
        <f t="shared" si="16"/>
        <v>0</v>
      </c>
      <c r="EC54" s="1">
        <f t="shared" si="16"/>
        <v>0</v>
      </c>
      <c r="ED54" s="1">
        <f t="shared" si="16"/>
        <v>0</v>
      </c>
      <c r="EE54" s="9">
        <f t="shared" si="16"/>
        <v>37838</v>
      </c>
      <c r="EF54" s="1">
        <f t="shared" si="16"/>
        <v>37634</v>
      </c>
      <c r="EG54" s="1">
        <f t="shared" si="16"/>
        <v>0</v>
      </c>
      <c r="EH54" s="1">
        <f t="shared" si="16"/>
        <v>0</v>
      </c>
      <c r="EI54" s="1">
        <f t="shared" si="16"/>
        <v>0</v>
      </c>
      <c r="EJ54" s="1">
        <f t="shared" si="16"/>
        <v>0</v>
      </c>
      <c r="EK54" s="1">
        <f t="shared" si="16"/>
        <v>0</v>
      </c>
      <c r="EL54" s="1">
        <f t="shared" si="16"/>
        <v>0</v>
      </c>
      <c r="EM54" s="1">
        <f t="shared" si="16"/>
        <v>0</v>
      </c>
      <c r="EN54" s="1">
        <f t="shared" si="16"/>
        <v>0</v>
      </c>
      <c r="EO54" s="1">
        <f t="shared" si="16"/>
        <v>0</v>
      </c>
      <c r="EP54" s="1">
        <f t="shared" si="16"/>
        <v>0</v>
      </c>
      <c r="EQ54" s="1">
        <f t="shared" si="16"/>
        <v>0</v>
      </c>
      <c r="ER54" s="1">
        <f t="shared" si="16"/>
        <v>0</v>
      </c>
      <c r="ES54" s="1">
        <f t="shared" si="16"/>
        <v>0</v>
      </c>
      <c r="ET54" s="1">
        <f t="shared" si="16"/>
        <v>0</v>
      </c>
      <c r="EU54" s="1">
        <f t="shared" si="16"/>
        <v>0</v>
      </c>
      <c r="EV54" s="1">
        <f t="shared" si="16"/>
        <v>0</v>
      </c>
      <c r="EW54" s="1">
        <f t="shared" si="16"/>
        <v>0</v>
      </c>
      <c r="EX54" s="9">
        <f t="shared" si="16"/>
        <v>37634</v>
      </c>
      <c r="EY54" s="1">
        <f t="shared" si="16"/>
        <v>37613</v>
      </c>
      <c r="EZ54" s="1">
        <f t="shared" si="16"/>
        <v>0</v>
      </c>
      <c r="FA54" s="1">
        <f t="shared" si="16"/>
        <v>0</v>
      </c>
      <c r="FB54" s="1">
        <f t="shared" si="16"/>
        <v>0</v>
      </c>
      <c r="FC54" s="1">
        <f t="shared" si="16"/>
        <v>0</v>
      </c>
      <c r="FD54" s="1">
        <f t="shared" si="16"/>
        <v>0</v>
      </c>
      <c r="FE54" s="1">
        <f t="shared" si="16"/>
        <v>0</v>
      </c>
      <c r="FF54" s="1">
        <f t="shared" si="16"/>
        <v>0</v>
      </c>
      <c r="FG54" s="1">
        <f t="shared" si="16"/>
        <v>0</v>
      </c>
      <c r="FH54" s="1">
        <f t="shared" si="16"/>
        <v>0</v>
      </c>
      <c r="FI54" s="1">
        <f t="shared" si="16"/>
        <v>0</v>
      </c>
      <c r="FJ54" s="1">
        <f t="shared" si="16"/>
        <v>0</v>
      </c>
      <c r="FK54" s="1">
        <f t="shared" si="16"/>
        <v>0</v>
      </c>
      <c r="FL54" s="1">
        <f t="shared" si="16"/>
        <v>0</v>
      </c>
      <c r="FM54" s="1">
        <f t="shared" ref="FM54:HV54" si="17">ET15</f>
        <v>0</v>
      </c>
      <c r="FN54" s="1">
        <f t="shared" si="17"/>
        <v>0</v>
      </c>
      <c r="FO54" s="1">
        <f t="shared" si="17"/>
        <v>0</v>
      </c>
      <c r="FP54" s="1">
        <f t="shared" si="17"/>
        <v>0</v>
      </c>
      <c r="FQ54" s="9">
        <f t="shared" si="17"/>
        <v>37613</v>
      </c>
      <c r="FR54" s="1">
        <f t="shared" si="17"/>
        <v>37667</v>
      </c>
      <c r="FS54" s="1">
        <f t="shared" si="17"/>
        <v>0</v>
      </c>
      <c r="FT54" s="1">
        <f t="shared" si="17"/>
        <v>0</v>
      </c>
      <c r="FU54" s="1">
        <f t="shared" si="17"/>
        <v>0</v>
      </c>
      <c r="FV54" s="1">
        <f t="shared" si="17"/>
        <v>0</v>
      </c>
      <c r="FW54" s="1">
        <f t="shared" si="17"/>
        <v>0</v>
      </c>
      <c r="FX54" s="1">
        <f t="shared" si="17"/>
        <v>0</v>
      </c>
      <c r="FY54" s="1">
        <f t="shared" si="17"/>
        <v>0</v>
      </c>
      <c r="FZ54" s="1">
        <f t="shared" si="17"/>
        <v>0</v>
      </c>
      <c r="GA54" s="1">
        <f t="shared" si="17"/>
        <v>0</v>
      </c>
      <c r="GB54" s="1">
        <f t="shared" si="17"/>
        <v>0</v>
      </c>
      <c r="GC54" s="1">
        <f t="shared" si="17"/>
        <v>0</v>
      </c>
      <c r="GD54" s="1">
        <f t="shared" si="17"/>
        <v>0</v>
      </c>
      <c r="GE54" s="1">
        <f t="shared" si="17"/>
        <v>0</v>
      </c>
      <c r="GF54" s="1">
        <f t="shared" si="17"/>
        <v>0</v>
      </c>
      <c r="GG54" s="1">
        <f t="shared" si="17"/>
        <v>0</v>
      </c>
      <c r="GH54" s="1">
        <f t="shared" si="17"/>
        <v>0</v>
      </c>
      <c r="GI54" s="1">
        <f t="shared" si="17"/>
        <v>0</v>
      </c>
      <c r="GJ54" s="9">
        <f t="shared" si="17"/>
        <v>37667</v>
      </c>
      <c r="GK54" s="1">
        <f t="shared" si="17"/>
        <v>37541</v>
      </c>
      <c r="GL54" s="1">
        <f t="shared" si="17"/>
        <v>0</v>
      </c>
      <c r="GM54" s="1">
        <f t="shared" si="17"/>
        <v>0</v>
      </c>
      <c r="GN54" s="1">
        <f t="shared" si="17"/>
        <v>0</v>
      </c>
      <c r="GO54" s="1">
        <f t="shared" si="17"/>
        <v>0</v>
      </c>
      <c r="GP54" s="1">
        <f t="shared" si="17"/>
        <v>0</v>
      </c>
      <c r="GQ54" s="1">
        <f t="shared" si="17"/>
        <v>0</v>
      </c>
      <c r="GR54" s="1">
        <f t="shared" si="17"/>
        <v>0</v>
      </c>
      <c r="GS54" s="1">
        <f t="shared" si="17"/>
        <v>0</v>
      </c>
      <c r="GT54" s="1">
        <f t="shared" si="17"/>
        <v>0</v>
      </c>
      <c r="GU54" s="1">
        <f t="shared" si="17"/>
        <v>0</v>
      </c>
      <c r="GV54" s="1">
        <f t="shared" si="17"/>
        <v>0</v>
      </c>
      <c r="GW54" s="1">
        <f t="shared" si="17"/>
        <v>0</v>
      </c>
      <c r="GX54" s="1">
        <f t="shared" si="17"/>
        <v>0</v>
      </c>
      <c r="GY54" s="1">
        <f t="shared" si="17"/>
        <v>0</v>
      </c>
      <c r="GZ54" s="1">
        <f t="shared" si="17"/>
        <v>0</v>
      </c>
      <c r="HA54" s="1">
        <f t="shared" si="17"/>
        <v>0</v>
      </c>
      <c r="HB54" s="1">
        <f t="shared" si="17"/>
        <v>0</v>
      </c>
      <c r="HC54" s="9">
        <f t="shared" si="17"/>
        <v>37541</v>
      </c>
      <c r="HD54" s="1">
        <f t="shared" si="17"/>
        <v>37541</v>
      </c>
      <c r="HE54" s="1">
        <f t="shared" si="17"/>
        <v>0</v>
      </c>
      <c r="HF54" s="1">
        <f t="shared" si="17"/>
        <v>0</v>
      </c>
      <c r="HG54" s="1">
        <f t="shared" si="17"/>
        <v>0</v>
      </c>
      <c r="HH54" s="1">
        <f t="shared" si="17"/>
        <v>0</v>
      </c>
      <c r="HI54" s="1">
        <f t="shared" si="17"/>
        <v>0</v>
      </c>
      <c r="HJ54" s="1">
        <f t="shared" si="17"/>
        <v>0</v>
      </c>
      <c r="HK54" s="1">
        <f t="shared" si="17"/>
        <v>0</v>
      </c>
      <c r="HL54" s="1">
        <f t="shared" si="17"/>
        <v>0</v>
      </c>
      <c r="HM54" s="1">
        <f t="shared" si="17"/>
        <v>0</v>
      </c>
      <c r="HN54" s="1">
        <f t="shared" si="17"/>
        <v>0</v>
      </c>
      <c r="HO54" s="1">
        <f t="shared" si="17"/>
        <v>0</v>
      </c>
      <c r="HP54" s="1">
        <f t="shared" si="17"/>
        <v>0</v>
      </c>
      <c r="HQ54" s="1">
        <f t="shared" si="17"/>
        <v>0</v>
      </c>
      <c r="HR54" s="1">
        <f t="shared" si="17"/>
        <v>0</v>
      </c>
      <c r="HS54" s="1">
        <f t="shared" si="17"/>
        <v>0</v>
      </c>
      <c r="HT54" s="1">
        <f t="shared" si="17"/>
        <v>0</v>
      </c>
      <c r="HU54" s="1">
        <f t="shared" si="17"/>
        <v>0</v>
      </c>
      <c r="HV54" s="9">
        <f t="shared" si="17"/>
        <v>37541</v>
      </c>
      <c r="HW54" s="1">
        <f t="shared" si="0"/>
        <v>448296</v>
      </c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</row>
    <row r="55" spans="1:249" x14ac:dyDescent="0.4">
      <c r="B55" t="s">
        <v>40</v>
      </c>
      <c r="C55">
        <v>7758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s="9">
        <v>7758</v>
      </c>
      <c r="V55" s="1">
        <f t="shared" si="13"/>
        <v>8019</v>
      </c>
      <c r="W55" s="1">
        <f t="shared" si="13"/>
        <v>0</v>
      </c>
      <c r="X55" s="1">
        <f t="shared" si="13"/>
        <v>0</v>
      </c>
      <c r="Y55" s="1">
        <f t="shared" si="13"/>
        <v>0</v>
      </c>
      <c r="Z55" s="1">
        <f t="shared" si="13"/>
        <v>0</v>
      </c>
      <c r="AA55" s="1">
        <f t="shared" si="13"/>
        <v>0</v>
      </c>
      <c r="AB55" s="1">
        <f t="shared" si="13"/>
        <v>0</v>
      </c>
      <c r="AC55" s="1">
        <f t="shared" si="13"/>
        <v>0</v>
      </c>
      <c r="AD55" s="1">
        <f t="shared" si="13"/>
        <v>0</v>
      </c>
      <c r="AE55" s="1">
        <f t="shared" si="13"/>
        <v>0</v>
      </c>
      <c r="AF55" s="1">
        <f t="shared" si="14"/>
        <v>0</v>
      </c>
      <c r="AG55" s="1">
        <f t="shared" si="14"/>
        <v>0</v>
      </c>
      <c r="AH55" s="1">
        <f t="shared" si="14"/>
        <v>0</v>
      </c>
      <c r="AI55" s="1">
        <f t="shared" si="14"/>
        <v>0</v>
      </c>
      <c r="AJ55" s="1">
        <f t="shared" si="14"/>
        <v>0</v>
      </c>
      <c r="AK55" s="1">
        <f t="shared" si="14"/>
        <v>0</v>
      </c>
      <c r="AL55" s="1">
        <f t="shared" si="14"/>
        <v>0</v>
      </c>
      <c r="AM55" s="1">
        <f t="shared" si="14"/>
        <v>0</v>
      </c>
      <c r="AN55" s="9">
        <f t="shared" si="14"/>
        <v>8019</v>
      </c>
      <c r="AO55" s="1">
        <f t="shared" ref="AO55:CZ55" si="18">V16</f>
        <v>8070</v>
      </c>
      <c r="AP55" s="1">
        <f t="shared" si="18"/>
        <v>0</v>
      </c>
      <c r="AQ55" s="1">
        <f t="shared" si="18"/>
        <v>0</v>
      </c>
      <c r="AR55" s="1">
        <f t="shared" si="18"/>
        <v>0</v>
      </c>
      <c r="AS55" s="1">
        <f t="shared" si="18"/>
        <v>0</v>
      </c>
      <c r="AT55" s="1">
        <f t="shared" si="18"/>
        <v>0</v>
      </c>
      <c r="AU55" s="1">
        <f t="shared" si="18"/>
        <v>0</v>
      </c>
      <c r="AV55" s="1">
        <f t="shared" si="18"/>
        <v>0</v>
      </c>
      <c r="AW55" s="1">
        <f t="shared" si="18"/>
        <v>0</v>
      </c>
      <c r="AX55" s="1">
        <f t="shared" si="18"/>
        <v>0</v>
      </c>
      <c r="AY55" s="1">
        <f t="shared" si="18"/>
        <v>0</v>
      </c>
      <c r="AZ55" s="1">
        <f t="shared" si="18"/>
        <v>0</v>
      </c>
      <c r="BA55" s="1">
        <f t="shared" si="18"/>
        <v>0</v>
      </c>
      <c r="BB55" s="1">
        <f t="shared" si="18"/>
        <v>0</v>
      </c>
      <c r="BC55" s="1">
        <f t="shared" si="18"/>
        <v>0</v>
      </c>
      <c r="BD55" s="1">
        <f t="shared" si="18"/>
        <v>0</v>
      </c>
      <c r="BE55" s="1">
        <f t="shared" si="18"/>
        <v>0</v>
      </c>
      <c r="BF55" s="1">
        <f t="shared" si="18"/>
        <v>0</v>
      </c>
      <c r="BG55" s="9">
        <f t="shared" si="18"/>
        <v>8070</v>
      </c>
      <c r="BH55" s="1">
        <f t="shared" si="18"/>
        <v>8296</v>
      </c>
      <c r="BI55" s="1">
        <f t="shared" si="18"/>
        <v>0</v>
      </c>
      <c r="BJ55" s="1">
        <f t="shared" si="18"/>
        <v>0</v>
      </c>
      <c r="BK55" s="1">
        <f t="shared" si="18"/>
        <v>0</v>
      </c>
      <c r="BL55" s="1">
        <f t="shared" si="18"/>
        <v>0</v>
      </c>
      <c r="BM55" s="1">
        <f t="shared" si="18"/>
        <v>0</v>
      </c>
      <c r="BN55" s="1">
        <f t="shared" si="18"/>
        <v>0</v>
      </c>
      <c r="BO55" s="1">
        <f t="shared" si="18"/>
        <v>0</v>
      </c>
      <c r="BP55" s="1">
        <f t="shared" si="18"/>
        <v>0</v>
      </c>
      <c r="BQ55" s="1">
        <f t="shared" si="18"/>
        <v>0</v>
      </c>
      <c r="BR55" s="1">
        <f t="shared" si="18"/>
        <v>0</v>
      </c>
      <c r="BS55" s="1">
        <f t="shared" si="18"/>
        <v>0</v>
      </c>
      <c r="BT55" s="1">
        <f t="shared" si="18"/>
        <v>0</v>
      </c>
      <c r="BU55" s="1">
        <f t="shared" si="18"/>
        <v>0</v>
      </c>
      <c r="BV55" s="1">
        <f t="shared" si="18"/>
        <v>0</v>
      </c>
      <c r="BW55" s="1">
        <f t="shared" si="18"/>
        <v>0</v>
      </c>
      <c r="BX55" s="1">
        <f t="shared" si="18"/>
        <v>0</v>
      </c>
      <c r="BY55" s="1">
        <f t="shared" si="18"/>
        <v>0</v>
      </c>
      <c r="BZ55" s="9">
        <f t="shared" si="18"/>
        <v>8296</v>
      </c>
      <c r="CA55" s="1">
        <f t="shared" si="18"/>
        <v>8366</v>
      </c>
      <c r="CB55" s="1">
        <f t="shared" si="18"/>
        <v>0</v>
      </c>
      <c r="CC55" s="1">
        <f t="shared" si="18"/>
        <v>0</v>
      </c>
      <c r="CD55" s="1">
        <f t="shared" si="18"/>
        <v>0</v>
      </c>
      <c r="CE55" s="1">
        <f t="shared" si="18"/>
        <v>0</v>
      </c>
      <c r="CF55" s="1">
        <f t="shared" si="18"/>
        <v>0</v>
      </c>
      <c r="CG55" s="1">
        <f t="shared" si="18"/>
        <v>0</v>
      </c>
      <c r="CH55" s="1">
        <f t="shared" si="18"/>
        <v>0</v>
      </c>
      <c r="CI55" s="1">
        <f t="shared" si="18"/>
        <v>0</v>
      </c>
      <c r="CJ55" s="1">
        <f t="shared" si="18"/>
        <v>0</v>
      </c>
      <c r="CK55" s="1">
        <f t="shared" si="18"/>
        <v>0</v>
      </c>
      <c r="CL55" s="1">
        <f t="shared" si="18"/>
        <v>0</v>
      </c>
      <c r="CM55" s="1">
        <f t="shared" si="18"/>
        <v>0</v>
      </c>
      <c r="CN55" s="1">
        <f t="shared" si="18"/>
        <v>0</v>
      </c>
      <c r="CO55" s="1">
        <f t="shared" si="18"/>
        <v>0</v>
      </c>
      <c r="CP55" s="1">
        <f t="shared" si="18"/>
        <v>0</v>
      </c>
      <c r="CQ55" s="1">
        <f t="shared" si="18"/>
        <v>0</v>
      </c>
      <c r="CR55" s="1">
        <f t="shared" si="18"/>
        <v>0</v>
      </c>
      <c r="CS55" s="9">
        <f t="shared" si="18"/>
        <v>8366</v>
      </c>
      <c r="CT55" s="1">
        <f t="shared" si="18"/>
        <v>8421</v>
      </c>
      <c r="CU55" s="1">
        <f t="shared" si="18"/>
        <v>0</v>
      </c>
      <c r="CV55" s="1">
        <f t="shared" si="18"/>
        <v>0</v>
      </c>
      <c r="CW55" s="1">
        <f t="shared" si="18"/>
        <v>0</v>
      </c>
      <c r="CX55" s="1">
        <f t="shared" si="18"/>
        <v>0</v>
      </c>
      <c r="CY55" s="1">
        <f t="shared" si="18"/>
        <v>0</v>
      </c>
      <c r="CZ55" s="1">
        <f t="shared" si="18"/>
        <v>0</v>
      </c>
      <c r="DA55" s="1">
        <f t="shared" ref="DA55:FL55" si="19">CH16</f>
        <v>0</v>
      </c>
      <c r="DB55" s="1">
        <f t="shared" si="19"/>
        <v>0</v>
      </c>
      <c r="DC55" s="1">
        <f t="shared" si="19"/>
        <v>0</v>
      </c>
      <c r="DD55" s="1">
        <f t="shared" si="19"/>
        <v>0</v>
      </c>
      <c r="DE55" s="1">
        <f t="shared" si="19"/>
        <v>0</v>
      </c>
      <c r="DF55" s="1">
        <f t="shared" si="19"/>
        <v>0</v>
      </c>
      <c r="DG55" s="1">
        <f t="shared" si="19"/>
        <v>0</v>
      </c>
      <c r="DH55" s="1">
        <f t="shared" si="19"/>
        <v>0</v>
      </c>
      <c r="DI55" s="1">
        <f t="shared" si="19"/>
        <v>0</v>
      </c>
      <c r="DJ55" s="1">
        <f t="shared" si="19"/>
        <v>0</v>
      </c>
      <c r="DK55" s="1">
        <f t="shared" si="19"/>
        <v>0</v>
      </c>
      <c r="DL55" s="9">
        <f t="shared" si="19"/>
        <v>8421</v>
      </c>
      <c r="DM55" s="1">
        <f t="shared" si="19"/>
        <v>8451</v>
      </c>
      <c r="DN55" s="1">
        <f t="shared" si="19"/>
        <v>0</v>
      </c>
      <c r="DO55" s="1">
        <f t="shared" si="19"/>
        <v>0</v>
      </c>
      <c r="DP55" s="1">
        <f t="shared" si="19"/>
        <v>0</v>
      </c>
      <c r="DQ55" s="1">
        <f t="shared" si="19"/>
        <v>0</v>
      </c>
      <c r="DR55" s="1">
        <f t="shared" si="19"/>
        <v>0</v>
      </c>
      <c r="DS55" s="1">
        <f t="shared" si="19"/>
        <v>0</v>
      </c>
      <c r="DT55" s="1">
        <f t="shared" si="19"/>
        <v>0</v>
      </c>
      <c r="DU55" s="1">
        <f t="shared" si="19"/>
        <v>0</v>
      </c>
      <c r="DV55" s="1">
        <f t="shared" si="19"/>
        <v>0</v>
      </c>
      <c r="DW55" s="1">
        <f t="shared" si="19"/>
        <v>0</v>
      </c>
      <c r="DX55" s="1">
        <f t="shared" si="19"/>
        <v>0</v>
      </c>
      <c r="DY55" s="1">
        <f t="shared" si="19"/>
        <v>0</v>
      </c>
      <c r="DZ55" s="1">
        <f t="shared" si="19"/>
        <v>0</v>
      </c>
      <c r="EA55" s="1">
        <f t="shared" si="19"/>
        <v>0</v>
      </c>
      <c r="EB55" s="1">
        <f t="shared" si="19"/>
        <v>0</v>
      </c>
      <c r="EC55" s="1">
        <f t="shared" si="19"/>
        <v>0</v>
      </c>
      <c r="ED55" s="1">
        <f t="shared" si="19"/>
        <v>0</v>
      </c>
      <c r="EE55" s="9">
        <f t="shared" si="19"/>
        <v>8451</v>
      </c>
      <c r="EF55" s="1">
        <f t="shared" si="19"/>
        <v>8488</v>
      </c>
      <c r="EG55" s="1">
        <f t="shared" si="19"/>
        <v>0</v>
      </c>
      <c r="EH55" s="1">
        <f t="shared" si="19"/>
        <v>0</v>
      </c>
      <c r="EI55" s="1">
        <f t="shared" si="19"/>
        <v>0</v>
      </c>
      <c r="EJ55" s="1">
        <f t="shared" si="19"/>
        <v>0</v>
      </c>
      <c r="EK55" s="1">
        <f t="shared" si="19"/>
        <v>0</v>
      </c>
      <c r="EL55" s="1">
        <f t="shared" si="19"/>
        <v>0</v>
      </c>
      <c r="EM55" s="1">
        <f t="shared" si="19"/>
        <v>0</v>
      </c>
      <c r="EN55" s="1">
        <f t="shared" si="19"/>
        <v>0</v>
      </c>
      <c r="EO55" s="1">
        <f t="shared" si="19"/>
        <v>0</v>
      </c>
      <c r="EP55" s="1">
        <f t="shared" si="19"/>
        <v>0</v>
      </c>
      <c r="EQ55" s="1">
        <f t="shared" si="19"/>
        <v>0</v>
      </c>
      <c r="ER55" s="1">
        <f t="shared" si="19"/>
        <v>0</v>
      </c>
      <c r="ES55" s="1">
        <f t="shared" si="19"/>
        <v>0</v>
      </c>
      <c r="ET55" s="1">
        <f t="shared" si="19"/>
        <v>0</v>
      </c>
      <c r="EU55" s="1">
        <f t="shared" si="19"/>
        <v>0</v>
      </c>
      <c r="EV55" s="1">
        <f t="shared" si="19"/>
        <v>0</v>
      </c>
      <c r="EW55" s="1">
        <f t="shared" si="19"/>
        <v>0</v>
      </c>
      <c r="EX55" s="9">
        <f t="shared" si="19"/>
        <v>8488</v>
      </c>
      <c r="EY55" s="1">
        <f t="shared" si="19"/>
        <v>8519</v>
      </c>
      <c r="EZ55" s="1">
        <f t="shared" si="19"/>
        <v>0</v>
      </c>
      <c r="FA55" s="1">
        <f t="shared" si="19"/>
        <v>0</v>
      </c>
      <c r="FB55" s="1">
        <f t="shared" si="19"/>
        <v>0</v>
      </c>
      <c r="FC55" s="1">
        <f t="shared" si="19"/>
        <v>0</v>
      </c>
      <c r="FD55" s="1">
        <f t="shared" si="19"/>
        <v>0</v>
      </c>
      <c r="FE55" s="1">
        <f t="shared" si="19"/>
        <v>0</v>
      </c>
      <c r="FF55" s="1">
        <f t="shared" si="19"/>
        <v>0</v>
      </c>
      <c r="FG55" s="1">
        <f t="shared" si="19"/>
        <v>0</v>
      </c>
      <c r="FH55" s="1">
        <f t="shared" si="19"/>
        <v>0</v>
      </c>
      <c r="FI55" s="1">
        <f t="shared" si="19"/>
        <v>0</v>
      </c>
      <c r="FJ55" s="1">
        <f t="shared" si="19"/>
        <v>0</v>
      </c>
      <c r="FK55" s="1">
        <f t="shared" si="19"/>
        <v>0</v>
      </c>
      <c r="FL55" s="1">
        <f t="shared" si="19"/>
        <v>0</v>
      </c>
      <c r="FM55" s="1">
        <f t="shared" ref="FM55:HV55" si="20">ET16</f>
        <v>0</v>
      </c>
      <c r="FN55" s="1">
        <f t="shared" si="20"/>
        <v>0</v>
      </c>
      <c r="FO55" s="1">
        <f t="shared" si="20"/>
        <v>0</v>
      </c>
      <c r="FP55" s="1">
        <f t="shared" si="20"/>
        <v>0</v>
      </c>
      <c r="FQ55" s="9">
        <f t="shared" si="20"/>
        <v>8519</v>
      </c>
      <c r="FR55" s="1">
        <f t="shared" si="20"/>
        <v>8541</v>
      </c>
      <c r="FS55" s="1">
        <f t="shared" si="20"/>
        <v>0</v>
      </c>
      <c r="FT55" s="1">
        <f t="shared" si="20"/>
        <v>0</v>
      </c>
      <c r="FU55" s="1">
        <f t="shared" si="20"/>
        <v>0</v>
      </c>
      <c r="FV55" s="1">
        <f t="shared" si="20"/>
        <v>0</v>
      </c>
      <c r="FW55" s="1">
        <f t="shared" si="20"/>
        <v>0</v>
      </c>
      <c r="FX55" s="1">
        <f t="shared" si="20"/>
        <v>0</v>
      </c>
      <c r="FY55" s="1">
        <f t="shared" si="20"/>
        <v>0</v>
      </c>
      <c r="FZ55" s="1">
        <f t="shared" si="20"/>
        <v>0</v>
      </c>
      <c r="GA55" s="1">
        <f t="shared" si="20"/>
        <v>0</v>
      </c>
      <c r="GB55" s="1">
        <f t="shared" si="20"/>
        <v>0</v>
      </c>
      <c r="GC55" s="1">
        <f t="shared" si="20"/>
        <v>0</v>
      </c>
      <c r="GD55" s="1">
        <f t="shared" si="20"/>
        <v>0</v>
      </c>
      <c r="GE55" s="1">
        <f t="shared" si="20"/>
        <v>0</v>
      </c>
      <c r="GF55" s="1">
        <f t="shared" si="20"/>
        <v>0</v>
      </c>
      <c r="GG55" s="1">
        <f t="shared" si="20"/>
        <v>0</v>
      </c>
      <c r="GH55" s="1">
        <f t="shared" si="20"/>
        <v>0</v>
      </c>
      <c r="GI55" s="1">
        <f t="shared" si="20"/>
        <v>0</v>
      </c>
      <c r="GJ55" s="9">
        <f t="shared" si="20"/>
        <v>8541</v>
      </c>
      <c r="GK55" s="1">
        <f t="shared" si="20"/>
        <v>8444</v>
      </c>
      <c r="GL55" s="1">
        <f t="shared" si="20"/>
        <v>0</v>
      </c>
      <c r="GM55" s="1">
        <f t="shared" si="20"/>
        <v>0</v>
      </c>
      <c r="GN55" s="1">
        <f t="shared" si="20"/>
        <v>0</v>
      </c>
      <c r="GO55" s="1">
        <f t="shared" si="20"/>
        <v>0</v>
      </c>
      <c r="GP55" s="1">
        <f t="shared" si="20"/>
        <v>0</v>
      </c>
      <c r="GQ55" s="1">
        <f t="shared" si="20"/>
        <v>0</v>
      </c>
      <c r="GR55" s="1">
        <f t="shared" si="20"/>
        <v>0</v>
      </c>
      <c r="GS55" s="1">
        <f t="shared" si="20"/>
        <v>0</v>
      </c>
      <c r="GT55" s="1">
        <f t="shared" si="20"/>
        <v>0</v>
      </c>
      <c r="GU55" s="1">
        <f t="shared" si="20"/>
        <v>0</v>
      </c>
      <c r="GV55" s="1">
        <f t="shared" si="20"/>
        <v>0</v>
      </c>
      <c r="GW55" s="1">
        <f t="shared" si="20"/>
        <v>0</v>
      </c>
      <c r="GX55" s="1">
        <f t="shared" si="20"/>
        <v>0</v>
      </c>
      <c r="GY55" s="1">
        <f t="shared" si="20"/>
        <v>0</v>
      </c>
      <c r="GZ55" s="1">
        <f t="shared" si="20"/>
        <v>0</v>
      </c>
      <c r="HA55" s="1">
        <f t="shared" si="20"/>
        <v>0</v>
      </c>
      <c r="HB55" s="1">
        <f t="shared" si="20"/>
        <v>0</v>
      </c>
      <c r="HC55" s="9">
        <f t="shared" si="20"/>
        <v>8444</v>
      </c>
      <c r="HD55" s="1">
        <f t="shared" si="20"/>
        <v>8333</v>
      </c>
      <c r="HE55" s="1">
        <f t="shared" si="20"/>
        <v>0</v>
      </c>
      <c r="HF55" s="1">
        <f t="shared" si="20"/>
        <v>0</v>
      </c>
      <c r="HG55" s="1">
        <f t="shared" si="20"/>
        <v>0</v>
      </c>
      <c r="HH55" s="1">
        <f t="shared" si="20"/>
        <v>0</v>
      </c>
      <c r="HI55" s="1">
        <f t="shared" si="20"/>
        <v>0</v>
      </c>
      <c r="HJ55" s="1">
        <f t="shared" si="20"/>
        <v>0</v>
      </c>
      <c r="HK55" s="1">
        <f t="shared" si="20"/>
        <v>0</v>
      </c>
      <c r="HL55" s="1">
        <f t="shared" si="20"/>
        <v>0</v>
      </c>
      <c r="HM55" s="1">
        <f t="shared" si="20"/>
        <v>0</v>
      </c>
      <c r="HN55" s="1">
        <f t="shared" si="20"/>
        <v>0</v>
      </c>
      <c r="HO55" s="1">
        <f t="shared" si="20"/>
        <v>0</v>
      </c>
      <c r="HP55" s="1">
        <f t="shared" si="20"/>
        <v>0</v>
      </c>
      <c r="HQ55" s="1">
        <f t="shared" si="20"/>
        <v>0</v>
      </c>
      <c r="HR55" s="1">
        <f t="shared" si="20"/>
        <v>0</v>
      </c>
      <c r="HS55" s="1">
        <f t="shared" si="20"/>
        <v>0</v>
      </c>
      <c r="HT55" s="1">
        <f t="shared" si="20"/>
        <v>0</v>
      </c>
      <c r="HU55" s="1">
        <f t="shared" si="20"/>
        <v>0</v>
      </c>
      <c r="HV55" s="9">
        <f t="shared" si="20"/>
        <v>8333</v>
      </c>
      <c r="HW55" s="1">
        <f t="shared" si="0"/>
        <v>99706</v>
      </c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</row>
    <row r="56" spans="1:249" x14ac:dyDescent="0.4">
      <c r="B56" t="s">
        <v>88</v>
      </c>
      <c r="C56">
        <v>0</v>
      </c>
      <c r="D56" s="1">
        <v>1634</v>
      </c>
      <c r="E56" s="1">
        <v>2440</v>
      </c>
      <c r="F56" s="1">
        <v>2807</v>
      </c>
      <c r="G56" s="1">
        <v>2794</v>
      </c>
      <c r="H56" s="1">
        <v>4107</v>
      </c>
      <c r="I56" s="1">
        <v>1368</v>
      </c>
      <c r="J56" s="1">
        <v>2825</v>
      </c>
      <c r="K56" s="1">
        <v>3062</v>
      </c>
      <c r="L56" s="1">
        <v>3239</v>
      </c>
      <c r="M56" s="1">
        <v>2336</v>
      </c>
      <c r="N56" s="1">
        <v>2719</v>
      </c>
      <c r="O56" s="1">
        <v>2232</v>
      </c>
      <c r="P56" s="1">
        <v>1417</v>
      </c>
      <c r="Q56" s="1">
        <v>1370</v>
      </c>
      <c r="R56" s="1">
        <v>2491</v>
      </c>
      <c r="S56" s="1">
        <v>911</v>
      </c>
      <c r="T56" s="1">
        <v>1651</v>
      </c>
      <c r="U56" s="9">
        <v>39403</v>
      </c>
      <c r="V56" s="1">
        <f t="shared" ref="V56:AE59" si="21">+C17</f>
        <v>0</v>
      </c>
      <c r="W56" s="1">
        <f t="shared" si="21"/>
        <v>1666</v>
      </c>
      <c r="X56" s="1">
        <f t="shared" si="21"/>
        <v>2411</v>
      </c>
      <c r="Y56" s="1">
        <f t="shared" si="21"/>
        <v>2846</v>
      </c>
      <c r="Z56" s="1">
        <f t="shared" si="21"/>
        <v>2777</v>
      </c>
      <c r="AA56" s="1">
        <f t="shared" si="21"/>
        <v>3951</v>
      </c>
      <c r="AB56" s="1">
        <f t="shared" si="21"/>
        <v>1365</v>
      </c>
      <c r="AC56" s="1">
        <f t="shared" si="21"/>
        <v>2801</v>
      </c>
      <c r="AD56" s="1">
        <f t="shared" si="21"/>
        <v>2956</v>
      </c>
      <c r="AE56" s="1">
        <f t="shared" si="21"/>
        <v>3665</v>
      </c>
      <c r="AF56" s="1">
        <f t="shared" ref="AF56:AO59" si="22">+M17</f>
        <v>2310</v>
      </c>
      <c r="AG56" s="1">
        <f t="shared" si="22"/>
        <v>2717</v>
      </c>
      <c r="AH56" s="1">
        <f t="shared" si="22"/>
        <v>2219</v>
      </c>
      <c r="AI56" s="1">
        <f t="shared" si="22"/>
        <v>1416</v>
      </c>
      <c r="AJ56" s="1">
        <f t="shared" si="22"/>
        <v>1398</v>
      </c>
      <c r="AK56" s="1">
        <f t="shared" si="22"/>
        <v>2483</v>
      </c>
      <c r="AL56" s="1">
        <f t="shared" si="22"/>
        <v>899</v>
      </c>
      <c r="AM56" s="1">
        <f t="shared" si="22"/>
        <v>1516</v>
      </c>
      <c r="AN56" s="9">
        <f t="shared" si="22"/>
        <v>39396</v>
      </c>
      <c r="AO56" s="1">
        <f t="shared" si="22"/>
        <v>0</v>
      </c>
      <c r="AP56" s="1">
        <f t="shared" ref="AP56:AY59" si="23">+W17</f>
        <v>1674</v>
      </c>
      <c r="AQ56" s="1">
        <f t="shared" si="23"/>
        <v>2445</v>
      </c>
      <c r="AR56" s="1">
        <f t="shared" si="23"/>
        <v>2815</v>
      </c>
      <c r="AS56" s="1">
        <f t="shared" si="23"/>
        <v>2805</v>
      </c>
      <c r="AT56" s="1">
        <f t="shared" si="23"/>
        <v>3939</v>
      </c>
      <c r="AU56" s="1">
        <f t="shared" si="23"/>
        <v>1358</v>
      </c>
      <c r="AV56" s="1">
        <f t="shared" si="23"/>
        <v>2805</v>
      </c>
      <c r="AW56" s="1">
        <f t="shared" si="23"/>
        <v>2939</v>
      </c>
      <c r="AX56" s="1">
        <f t="shared" si="23"/>
        <v>3716</v>
      </c>
      <c r="AY56" s="1">
        <f t="shared" si="23"/>
        <v>2339</v>
      </c>
      <c r="AZ56" s="1">
        <f t="shared" ref="AZ56:BI59" si="24">+AG17</f>
        <v>2708</v>
      </c>
      <c r="BA56" s="1">
        <f t="shared" si="24"/>
        <v>2212</v>
      </c>
      <c r="BB56" s="1">
        <f t="shared" si="24"/>
        <v>1424</v>
      </c>
      <c r="BC56" s="1">
        <f t="shared" si="24"/>
        <v>1397</v>
      </c>
      <c r="BD56" s="1">
        <f t="shared" si="24"/>
        <v>2489</v>
      </c>
      <c r="BE56" s="1">
        <f t="shared" si="24"/>
        <v>909</v>
      </c>
      <c r="BF56" s="1">
        <f t="shared" si="24"/>
        <v>1488</v>
      </c>
      <c r="BG56" s="9">
        <f t="shared" si="24"/>
        <v>39462</v>
      </c>
      <c r="BH56" s="1">
        <f t="shared" si="24"/>
        <v>0</v>
      </c>
      <c r="BI56" s="1">
        <f t="shared" si="24"/>
        <v>1691</v>
      </c>
      <c r="BJ56" s="1">
        <f t="shared" ref="BJ56:BS59" si="25">+AQ17</f>
        <v>2422</v>
      </c>
      <c r="BK56" s="1">
        <f t="shared" si="25"/>
        <v>2765</v>
      </c>
      <c r="BL56" s="1">
        <f t="shared" si="25"/>
        <v>2713</v>
      </c>
      <c r="BM56" s="1">
        <f t="shared" si="25"/>
        <v>3785</v>
      </c>
      <c r="BN56" s="1">
        <f t="shared" si="25"/>
        <v>1327</v>
      </c>
      <c r="BO56" s="1">
        <f t="shared" si="25"/>
        <v>2766</v>
      </c>
      <c r="BP56" s="1">
        <f t="shared" si="25"/>
        <v>2935</v>
      </c>
      <c r="BQ56" s="1">
        <f t="shared" si="25"/>
        <v>3688</v>
      </c>
      <c r="BR56" s="1">
        <f t="shared" si="25"/>
        <v>2363</v>
      </c>
      <c r="BS56" s="1">
        <f t="shared" si="25"/>
        <v>2708</v>
      </c>
      <c r="BT56" s="1">
        <f t="shared" ref="BT56:CC59" si="26">+BA17</f>
        <v>2193</v>
      </c>
      <c r="BU56" s="1">
        <f t="shared" si="26"/>
        <v>1414</v>
      </c>
      <c r="BV56" s="1">
        <f t="shared" si="26"/>
        <v>1392</v>
      </c>
      <c r="BW56" s="1">
        <f t="shared" si="26"/>
        <v>2436</v>
      </c>
      <c r="BX56" s="1">
        <f t="shared" si="26"/>
        <v>899</v>
      </c>
      <c r="BY56" s="1">
        <f t="shared" si="26"/>
        <v>1329</v>
      </c>
      <c r="BZ56" s="9">
        <f t="shared" si="26"/>
        <v>38826</v>
      </c>
      <c r="CA56" s="1">
        <f t="shared" si="26"/>
        <v>0</v>
      </c>
      <c r="CB56" s="1">
        <f t="shared" si="26"/>
        <v>1694</v>
      </c>
      <c r="CC56" s="1">
        <f t="shared" si="26"/>
        <v>2322</v>
      </c>
      <c r="CD56" s="1">
        <f t="shared" ref="CD56:CM59" si="27">+BK17</f>
        <v>2767</v>
      </c>
      <c r="CE56" s="1">
        <f t="shared" si="27"/>
        <v>2714</v>
      </c>
      <c r="CF56" s="1">
        <f t="shared" si="27"/>
        <v>3765</v>
      </c>
      <c r="CG56" s="1">
        <f t="shared" si="27"/>
        <v>1315</v>
      </c>
      <c r="CH56" s="1">
        <f t="shared" si="27"/>
        <v>2718</v>
      </c>
      <c r="CI56" s="1">
        <f t="shared" si="27"/>
        <v>2892</v>
      </c>
      <c r="CJ56" s="1">
        <f t="shared" si="27"/>
        <v>3672</v>
      </c>
      <c r="CK56" s="1">
        <f t="shared" si="27"/>
        <v>2395</v>
      </c>
      <c r="CL56" s="1">
        <f t="shared" si="27"/>
        <v>2686</v>
      </c>
      <c r="CM56" s="1">
        <f t="shared" si="27"/>
        <v>2198</v>
      </c>
      <c r="CN56" s="1">
        <f t="shared" ref="CN56:CW59" si="28">+BU17</f>
        <v>1424</v>
      </c>
      <c r="CO56" s="1">
        <f t="shared" si="28"/>
        <v>1394</v>
      </c>
      <c r="CP56" s="1">
        <f t="shared" si="28"/>
        <v>2265</v>
      </c>
      <c r="CQ56" s="1">
        <f t="shared" si="28"/>
        <v>898</v>
      </c>
      <c r="CR56" s="1">
        <f t="shared" si="28"/>
        <v>1307</v>
      </c>
      <c r="CS56" s="9">
        <f t="shared" si="28"/>
        <v>38426</v>
      </c>
      <c r="CT56" s="1">
        <f t="shared" si="28"/>
        <v>0</v>
      </c>
      <c r="CU56" s="1">
        <f t="shared" si="28"/>
        <v>1696</v>
      </c>
      <c r="CV56" s="1">
        <f t="shared" si="28"/>
        <v>2304</v>
      </c>
      <c r="CW56" s="1">
        <f t="shared" si="28"/>
        <v>2751</v>
      </c>
      <c r="CX56" s="1">
        <f t="shared" ref="CX56:DG59" si="29">+CE17</f>
        <v>2701</v>
      </c>
      <c r="CY56" s="1">
        <f t="shared" si="29"/>
        <v>3813</v>
      </c>
      <c r="CZ56" s="1">
        <f t="shared" si="29"/>
        <v>1315</v>
      </c>
      <c r="DA56" s="1">
        <f t="shared" si="29"/>
        <v>2716</v>
      </c>
      <c r="DB56" s="1">
        <f t="shared" si="29"/>
        <v>2881</v>
      </c>
      <c r="DC56" s="1">
        <f t="shared" si="29"/>
        <v>3689</v>
      </c>
      <c r="DD56" s="1">
        <f t="shared" si="29"/>
        <v>2393</v>
      </c>
      <c r="DE56" s="1">
        <f t="shared" si="29"/>
        <v>2747</v>
      </c>
      <c r="DF56" s="1">
        <f t="shared" si="29"/>
        <v>2189</v>
      </c>
      <c r="DG56" s="1">
        <f t="shared" si="29"/>
        <v>1423</v>
      </c>
      <c r="DH56" s="1">
        <f t="shared" ref="DH56:DQ59" si="30">+CO17</f>
        <v>1375</v>
      </c>
      <c r="DI56" s="1">
        <f t="shared" si="30"/>
        <v>2206</v>
      </c>
      <c r="DJ56" s="1">
        <f t="shared" si="30"/>
        <v>885</v>
      </c>
      <c r="DK56" s="1">
        <f t="shared" si="30"/>
        <v>1291</v>
      </c>
      <c r="DL56" s="9">
        <f t="shared" si="30"/>
        <v>38375</v>
      </c>
      <c r="DM56" s="1">
        <f t="shared" si="30"/>
        <v>0</v>
      </c>
      <c r="DN56" s="1">
        <f t="shared" si="30"/>
        <v>1710</v>
      </c>
      <c r="DO56" s="1">
        <f t="shared" si="30"/>
        <v>2315</v>
      </c>
      <c r="DP56" s="1">
        <f t="shared" si="30"/>
        <v>2752</v>
      </c>
      <c r="DQ56" s="1">
        <f t="shared" si="30"/>
        <v>2699</v>
      </c>
      <c r="DR56" s="1">
        <f t="shared" ref="DR56:EA59" si="31">+CY17</f>
        <v>3832</v>
      </c>
      <c r="DS56" s="1">
        <f t="shared" si="31"/>
        <v>1302</v>
      </c>
      <c r="DT56" s="1">
        <f t="shared" si="31"/>
        <v>2710</v>
      </c>
      <c r="DU56" s="1">
        <f t="shared" si="31"/>
        <v>2863</v>
      </c>
      <c r="DV56" s="1">
        <f t="shared" si="31"/>
        <v>3732</v>
      </c>
      <c r="DW56" s="1">
        <f t="shared" si="31"/>
        <v>2319</v>
      </c>
      <c r="DX56" s="1">
        <f t="shared" si="31"/>
        <v>2787</v>
      </c>
      <c r="DY56" s="1">
        <f t="shared" si="31"/>
        <v>2185</v>
      </c>
      <c r="DZ56" s="1">
        <f t="shared" si="31"/>
        <v>1417</v>
      </c>
      <c r="EA56" s="1">
        <f t="shared" si="31"/>
        <v>1491</v>
      </c>
      <c r="EB56" s="1">
        <f t="shared" ref="EB56:EK59" si="32">+DI17</f>
        <v>2171</v>
      </c>
      <c r="EC56" s="1">
        <f t="shared" si="32"/>
        <v>886</v>
      </c>
      <c r="ED56" s="1">
        <f t="shared" si="32"/>
        <v>1295</v>
      </c>
      <c r="EE56" s="9">
        <f t="shared" si="32"/>
        <v>38466</v>
      </c>
      <c r="EF56" s="1">
        <f t="shared" si="32"/>
        <v>0</v>
      </c>
      <c r="EG56" s="1">
        <f t="shared" si="32"/>
        <v>1726</v>
      </c>
      <c r="EH56" s="1">
        <f t="shared" si="32"/>
        <v>2321</v>
      </c>
      <c r="EI56" s="1">
        <f t="shared" si="32"/>
        <v>2770</v>
      </c>
      <c r="EJ56" s="1">
        <f t="shared" si="32"/>
        <v>2681</v>
      </c>
      <c r="EK56" s="1">
        <f t="shared" si="32"/>
        <v>3875</v>
      </c>
      <c r="EL56" s="1">
        <f t="shared" ref="EL56:EU59" si="33">+DS17</f>
        <v>1295</v>
      </c>
      <c r="EM56" s="1">
        <f t="shared" si="33"/>
        <v>2704</v>
      </c>
      <c r="EN56" s="1">
        <f t="shared" si="33"/>
        <v>2888</v>
      </c>
      <c r="EO56" s="1">
        <f t="shared" si="33"/>
        <v>3763</v>
      </c>
      <c r="EP56" s="1">
        <f t="shared" si="33"/>
        <v>2310</v>
      </c>
      <c r="EQ56" s="1">
        <f t="shared" si="33"/>
        <v>2773</v>
      </c>
      <c r="ER56" s="1">
        <f t="shared" si="33"/>
        <v>2198</v>
      </c>
      <c r="ES56" s="1">
        <f t="shared" si="33"/>
        <v>1415</v>
      </c>
      <c r="ET56" s="1">
        <f t="shared" si="33"/>
        <v>1455</v>
      </c>
      <c r="EU56" s="1">
        <f t="shared" si="33"/>
        <v>2151</v>
      </c>
      <c r="EV56" s="1">
        <f t="shared" ref="EV56:FE59" si="34">+EC17</f>
        <v>888</v>
      </c>
      <c r="EW56" s="1">
        <f t="shared" si="34"/>
        <v>1303</v>
      </c>
      <c r="EX56" s="9">
        <f t="shared" si="34"/>
        <v>38516</v>
      </c>
      <c r="EY56" s="1">
        <f t="shared" si="34"/>
        <v>0</v>
      </c>
      <c r="EZ56" s="1">
        <f t="shared" si="34"/>
        <v>1736</v>
      </c>
      <c r="FA56" s="1">
        <f t="shared" si="34"/>
        <v>2321</v>
      </c>
      <c r="FB56" s="1">
        <f t="shared" si="34"/>
        <v>2776</v>
      </c>
      <c r="FC56" s="1">
        <f t="shared" si="34"/>
        <v>2661</v>
      </c>
      <c r="FD56" s="1">
        <f t="shared" si="34"/>
        <v>3908</v>
      </c>
      <c r="FE56" s="1">
        <f t="shared" si="34"/>
        <v>1311</v>
      </c>
      <c r="FF56" s="1">
        <f t="shared" ref="FF56:FO59" si="35">+EM17</f>
        <v>2698</v>
      </c>
      <c r="FG56" s="1">
        <f t="shared" si="35"/>
        <v>2909</v>
      </c>
      <c r="FH56" s="1">
        <f t="shared" si="35"/>
        <v>3760</v>
      </c>
      <c r="FI56" s="1">
        <f t="shared" si="35"/>
        <v>2342</v>
      </c>
      <c r="FJ56" s="1">
        <f t="shared" si="35"/>
        <v>2774</v>
      </c>
      <c r="FK56" s="1">
        <f t="shared" si="35"/>
        <v>2199</v>
      </c>
      <c r="FL56" s="1">
        <f t="shared" si="35"/>
        <v>1442</v>
      </c>
      <c r="FM56" s="1">
        <f t="shared" si="35"/>
        <v>1413</v>
      </c>
      <c r="FN56" s="1">
        <f t="shared" si="35"/>
        <v>2146</v>
      </c>
      <c r="FO56" s="1">
        <f t="shared" si="35"/>
        <v>897</v>
      </c>
      <c r="FP56" s="1">
        <f t="shared" ref="FP56:FY59" si="36">+EW17</f>
        <v>1365</v>
      </c>
      <c r="FQ56" s="9">
        <f t="shared" si="36"/>
        <v>38658</v>
      </c>
      <c r="FR56" s="1">
        <f t="shared" si="36"/>
        <v>0</v>
      </c>
      <c r="FS56" s="1">
        <f t="shared" si="36"/>
        <v>1723</v>
      </c>
      <c r="FT56" s="1">
        <f t="shared" si="36"/>
        <v>2313</v>
      </c>
      <c r="FU56" s="1">
        <f t="shared" si="36"/>
        <v>2776</v>
      </c>
      <c r="FV56" s="1">
        <f t="shared" si="36"/>
        <v>2634</v>
      </c>
      <c r="FW56" s="1">
        <f t="shared" si="36"/>
        <v>3955</v>
      </c>
      <c r="FX56" s="1">
        <f t="shared" si="36"/>
        <v>1309</v>
      </c>
      <c r="FY56" s="1">
        <f t="shared" si="36"/>
        <v>2698</v>
      </c>
      <c r="FZ56" s="1">
        <f t="shared" ref="FZ56:GI59" si="37">+FG17</f>
        <v>2968</v>
      </c>
      <c r="GA56" s="1">
        <f t="shared" si="37"/>
        <v>3750</v>
      </c>
      <c r="GB56" s="1">
        <f t="shared" si="37"/>
        <v>2376</v>
      </c>
      <c r="GC56" s="1">
        <f t="shared" si="37"/>
        <v>2737</v>
      </c>
      <c r="GD56" s="1">
        <f t="shared" si="37"/>
        <v>2296</v>
      </c>
      <c r="GE56" s="1">
        <f t="shared" si="37"/>
        <v>1442</v>
      </c>
      <c r="GF56" s="1">
        <f t="shared" si="37"/>
        <v>1458</v>
      </c>
      <c r="GG56" s="1">
        <f t="shared" si="37"/>
        <v>2150</v>
      </c>
      <c r="GH56" s="1">
        <f t="shared" si="37"/>
        <v>897</v>
      </c>
      <c r="GI56" s="1">
        <f t="shared" si="37"/>
        <v>1347</v>
      </c>
      <c r="GJ56" s="9">
        <f t="shared" ref="GJ56:GS59" si="38">+FQ17</f>
        <v>38829</v>
      </c>
      <c r="GK56" s="1">
        <f t="shared" si="38"/>
        <v>0</v>
      </c>
      <c r="GL56" s="1">
        <f t="shared" si="38"/>
        <v>1724</v>
      </c>
      <c r="GM56" s="1">
        <f t="shared" si="38"/>
        <v>2345</v>
      </c>
      <c r="GN56" s="1">
        <f t="shared" si="38"/>
        <v>2772</v>
      </c>
      <c r="GO56" s="1">
        <f t="shared" si="38"/>
        <v>2655</v>
      </c>
      <c r="GP56" s="1">
        <f t="shared" si="38"/>
        <v>3950</v>
      </c>
      <c r="GQ56" s="1">
        <f t="shared" si="38"/>
        <v>1308</v>
      </c>
      <c r="GR56" s="1">
        <f t="shared" si="38"/>
        <v>2684</v>
      </c>
      <c r="GS56" s="1">
        <f t="shared" si="38"/>
        <v>3000</v>
      </c>
      <c r="GT56" s="1">
        <f t="shared" ref="GT56:HC59" si="39">+GA17</f>
        <v>3682</v>
      </c>
      <c r="GU56" s="1">
        <f t="shared" si="39"/>
        <v>2392</v>
      </c>
      <c r="GV56" s="1">
        <f t="shared" si="39"/>
        <v>2770</v>
      </c>
      <c r="GW56" s="1">
        <f t="shared" si="39"/>
        <v>2377</v>
      </c>
      <c r="GX56" s="1">
        <f t="shared" si="39"/>
        <v>1439</v>
      </c>
      <c r="GY56" s="1">
        <f t="shared" si="39"/>
        <v>1469</v>
      </c>
      <c r="GZ56" s="1">
        <f t="shared" si="39"/>
        <v>2163</v>
      </c>
      <c r="HA56" s="1">
        <f t="shared" si="39"/>
        <v>909</v>
      </c>
      <c r="HB56" s="1">
        <f t="shared" si="39"/>
        <v>1374</v>
      </c>
      <c r="HC56" s="9">
        <f t="shared" si="39"/>
        <v>39013</v>
      </c>
      <c r="HD56" s="1">
        <f t="shared" ref="HD56:HM59" si="40">+GK17</f>
        <v>0</v>
      </c>
      <c r="HE56" s="1">
        <f t="shared" si="40"/>
        <v>1728</v>
      </c>
      <c r="HF56" s="1">
        <f t="shared" si="40"/>
        <v>2364</v>
      </c>
      <c r="HG56" s="1">
        <f t="shared" si="40"/>
        <v>2777</v>
      </c>
      <c r="HH56" s="1">
        <f t="shared" si="40"/>
        <v>2665</v>
      </c>
      <c r="HI56" s="1">
        <f t="shared" si="40"/>
        <v>3977</v>
      </c>
      <c r="HJ56" s="1">
        <f t="shared" si="40"/>
        <v>1289</v>
      </c>
      <c r="HK56" s="1">
        <f t="shared" si="40"/>
        <v>2722</v>
      </c>
      <c r="HL56" s="1">
        <f t="shared" si="40"/>
        <v>2986</v>
      </c>
      <c r="HM56" s="1">
        <f t="shared" si="40"/>
        <v>3680</v>
      </c>
      <c r="HN56" s="1">
        <f t="shared" ref="HN56:HV59" si="41">+GU17</f>
        <v>2385</v>
      </c>
      <c r="HO56" s="1">
        <f t="shared" si="41"/>
        <v>2795</v>
      </c>
      <c r="HP56" s="1">
        <f t="shared" si="41"/>
        <v>2392</v>
      </c>
      <c r="HQ56" s="1">
        <f t="shared" si="41"/>
        <v>1437</v>
      </c>
      <c r="HR56" s="1">
        <f t="shared" si="41"/>
        <v>1433</v>
      </c>
      <c r="HS56" s="1">
        <f t="shared" si="41"/>
        <v>2175</v>
      </c>
      <c r="HT56" s="1">
        <f t="shared" si="41"/>
        <v>924</v>
      </c>
      <c r="HU56" s="1">
        <f t="shared" si="41"/>
        <v>1412</v>
      </c>
      <c r="HV56" s="9">
        <f t="shared" si="41"/>
        <v>39141</v>
      </c>
      <c r="HW56" s="1">
        <f t="shared" si="0"/>
        <v>466511</v>
      </c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</row>
    <row r="57" spans="1:249" x14ac:dyDescent="0.4">
      <c r="B57" t="s">
        <v>37</v>
      </c>
      <c r="C57">
        <v>0</v>
      </c>
      <c r="D57" s="1">
        <v>411</v>
      </c>
      <c r="E57" s="1">
        <v>1953</v>
      </c>
      <c r="F57" s="1">
        <v>2603</v>
      </c>
      <c r="G57" s="1">
        <v>2108</v>
      </c>
      <c r="H57" s="1">
        <v>1041</v>
      </c>
      <c r="I57" s="1">
        <v>369</v>
      </c>
      <c r="J57" s="1">
        <v>1393</v>
      </c>
      <c r="K57" s="1">
        <v>1885</v>
      </c>
      <c r="L57" s="1">
        <v>589</v>
      </c>
      <c r="M57" s="1">
        <v>1675</v>
      </c>
      <c r="N57" s="1">
        <v>965</v>
      </c>
      <c r="O57" s="1">
        <v>978</v>
      </c>
      <c r="P57" s="1">
        <v>704</v>
      </c>
      <c r="Q57" s="1">
        <v>1708</v>
      </c>
      <c r="R57" s="1">
        <v>386</v>
      </c>
      <c r="S57" s="1">
        <v>740</v>
      </c>
      <c r="T57" s="1">
        <v>326</v>
      </c>
      <c r="U57" s="9">
        <v>19834</v>
      </c>
      <c r="V57" s="1">
        <f t="shared" si="21"/>
        <v>0</v>
      </c>
      <c r="W57" s="1">
        <f t="shared" si="21"/>
        <v>411</v>
      </c>
      <c r="X57" s="1">
        <f t="shared" si="21"/>
        <v>1960</v>
      </c>
      <c r="Y57" s="1">
        <f t="shared" si="21"/>
        <v>2612</v>
      </c>
      <c r="Z57" s="1">
        <f t="shared" si="21"/>
        <v>2097</v>
      </c>
      <c r="AA57" s="1">
        <f t="shared" si="21"/>
        <v>1022</v>
      </c>
      <c r="AB57" s="1">
        <f t="shared" si="21"/>
        <v>367</v>
      </c>
      <c r="AC57" s="1">
        <f t="shared" si="21"/>
        <v>1416</v>
      </c>
      <c r="AD57" s="1">
        <f t="shared" si="21"/>
        <v>1903</v>
      </c>
      <c r="AE57" s="1">
        <f t="shared" si="21"/>
        <v>711</v>
      </c>
      <c r="AF57" s="1">
        <f t="shared" si="22"/>
        <v>1681</v>
      </c>
      <c r="AG57" s="1">
        <f t="shared" si="22"/>
        <v>934</v>
      </c>
      <c r="AH57" s="1">
        <f t="shared" si="22"/>
        <v>984</v>
      </c>
      <c r="AI57" s="1">
        <f t="shared" si="22"/>
        <v>714</v>
      </c>
      <c r="AJ57" s="1">
        <f t="shared" si="22"/>
        <v>1745</v>
      </c>
      <c r="AK57" s="1">
        <f t="shared" si="22"/>
        <v>373</v>
      </c>
      <c r="AL57" s="1">
        <f t="shared" si="22"/>
        <v>756</v>
      </c>
      <c r="AM57" s="1">
        <f t="shared" si="22"/>
        <v>342</v>
      </c>
      <c r="AN57" s="9">
        <f t="shared" si="22"/>
        <v>20028</v>
      </c>
      <c r="AO57" s="1">
        <f t="shared" si="22"/>
        <v>0</v>
      </c>
      <c r="AP57" s="1">
        <f t="shared" si="23"/>
        <v>411</v>
      </c>
      <c r="AQ57" s="1">
        <f t="shared" si="23"/>
        <v>1958</v>
      </c>
      <c r="AR57" s="1">
        <f t="shared" si="23"/>
        <v>2603</v>
      </c>
      <c r="AS57" s="1">
        <f t="shared" si="23"/>
        <v>2095</v>
      </c>
      <c r="AT57" s="1">
        <f t="shared" si="23"/>
        <v>1049</v>
      </c>
      <c r="AU57" s="1">
        <f t="shared" si="23"/>
        <v>369</v>
      </c>
      <c r="AV57" s="1">
        <f t="shared" si="23"/>
        <v>1436</v>
      </c>
      <c r="AW57" s="1">
        <f t="shared" si="23"/>
        <v>1893</v>
      </c>
      <c r="AX57" s="1">
        <f t="shared" si="23"/>
        <v>717</v>
      </c>
      <c r="AY57" s="1">
        <f t="shared" si="23"/>
        <v>1644</v>
      </c>
      <c r="AZ57" s="1">
        <f t="shared" si="24"/>
        <v>964</v>
      </c>
      <c r="BA57" s="1">
        <f t="shared" si="24"/>
        <v>1002</v>
      </c>
      <c r="BB57" s="1">
        <f t="shared" si="24"/>
        <v>721</v>
      </c>
      <c r="BC57" s="1">
        <f t="shared" si="24"/>
        <v>1758</v>
      </c>
      <c r="BD57" s="1">
        <f t="shared" si="24"/>
        <v>372</v>
      </c>
      <c r="BE57" s="1">
        <f t="shared" si="24"/>
        <v>757</v>
      </c>
      <c r="BF57" s="1">
        <f t="shared" si="24"/>
        <v>340</v>
      </c>
      <c r="BG57" s="9">
        <f t="shared" si="24"/>
        <v>20089</v>
      </c>
      <c r="BH57" s="1">
        <f t="shared" si="24"/>
        <v>0</v>
      </c>
      <c r="BI57" s="1">
        <f t="shared" si="24"/>
        <v>411</v>
      </c>
      <c r="BJ57" s="1">
        <f t="shared" si="25"/>
        <v>1956</v>
      </c>
      <c r="BK57" s="1">
        <f t="shared" si="25"/>
        <v>2629</v>
      </c>
      <c r="BL57" s="1">
        <f t="shared" si="25"/>
        <v>2120</v>
      </c>
      <c r="BM57" s="1">
        <f t="shared" si="25"/>
        <v>1069</v>
      </c>
      <c r="BN57" s="1">
        <f t="shared" si="25"/>
        <v>374</v>
      </c>
      <c r="BO57" s="1">
        <f t="shared" si="25"/>
        <v>1387</v>
      </c>
      <c r="BP57" s="1">
        <f t="shared" si="25"/>
        <v>1878</v>
      </c>
      <c r="BQ57" s="1">
        <f t="shared" si="25"/>
        <v>727</v>
      </c>
      <c r="BR57" s="1">
        <f t="shared" si="25"/>
        <v>1683</v>
      </c>
      <c r="BS57" s="1">
        <f t="shared" si="25"/>
        <v>979</v>
      </c>
      <c r="BT57" s="1">
        <f t="shared" si="26"/>
        <v>1014</v>
      </c>
      <c r="BU57" s="1">
        <f t="shared" si="26"/>
        <v>741</v>
      </c>
      <c r="BV57" s="1">
        <f t="shared" si="26"/>
        <v>1783</v>
      </c>
      <c r="BW57" s="1">
        <f t="shared" si="26"/>
        <v>372</v>
      </c>
      <c r="BX57" s="1">
        <f t="shared" si="26"/>
        <v>758</v>
      </c>
      <c r="BY57" s="1">
        <f t="shared" si="26"/>
        <v>328</v>
      </c>
      <c r="BZ57" s="9">
        <f t="shared" si="26"/>
        <v>20209</v>
      </c>
      <c r="CA57" s="1">
        <f t="shared" si="26"/>
        <v>0</v>
      </c>
      <c r="CB57" s="1">
        <f t="shared" si="26"/>
        <v>411</v>
      </c>
      <c r="CC57" s="1">
        <f t="shared" si="26"/>
        <v>1951</v>
      </c>
      <c r="CD57" s="1">
        <f t="shared" si="27"/>
        <v>2636</v>
      </c>
      <c r="CE57" s="1">
        <f t="shared" si="27"/>
        <v>2121</v>
      </c>
      <c r="CF57" s="1">
        <f t="shared" si="27"/>
        <v>1085</v>
      </c>
      <c r="CG57" s="1">
        <f t="shared" si="27"/>
        <v>376</v>
      </c>
      <c r="CH57" s="1">
        <f t="shared" si="27"/>
        <v>1386</v>
      </c>
      <c r="CI57" s="1">
        <f t="shared" si="27"/>
        <v>1933</v>
      </c>
      <c r="CJ57" s="1">
        <f t="shared" si="27"/>
        <v>767</v>
      </c>
      <c r="CK57" s="1">
        <f t="shared" si="27"/>
        <v>1695</v>
      </c>
      <c r="CL57" s="1">
        <f t="shared" si="27"/>
        <v>987</v>
      </c>
      <c r="CM57" s="1">
        <f t="shared" si="27"/>
        <v>1017</v>
      </c>
      <c r="CN57" s="1">
        <f t="shared" si="28"/>
        <v>741</v>
      </c>
      <c r="CO57" s="1">
        <f t="shared" si="28"/>
        <v>1698</v>
      </c>
      <c r="CP57" s="1">
        <f t="shared" si="28"/>
        <v>358</v>
      </c>
      <c r="CQ57" s="1">
        <f t="shared" si="28"/>
        <v>750</v>
      </c>
      <c r="CR57" s="1">
        <f t="shared" si="28"/>
        <v>325</v>
      </c>
      <c r="CS57" s="9">
        <f t="shared" si="28"/>
        <v>20237</v>
      </c>
      <c r="CT57" s="1">
        <f t="shared" si="28"/>
        <v>0</v>
      </c>
      <c r="CU57" s="1">
        <f t="shared" si="28"/>
        <v>411</v>
      </c>
      <c r="CV57" s="1">
        <f t="shared" si="28"/>
        <v>1957</v>
      </c>
      <c r="CW57" s="1">
        <f t="shared" si="28"/>
        <v>2657</v>
      </c>
      <c r="CX57" s="1">
        <f t="shared" si="29"/>
        <v>2125</v>
      </c>
      <c r="CY57" s="1">
        <f t="shared" si="29"/>
        <v>1091</v>
      </c>
      <c r="CZ57" s="1">
        <f t="shared" si="29"/>
        <v>372</v>
      </c>
      <c r="DA57" s="1">
        <f t="shared" si="29"/>
        <v>1391</v>
      </c>
      <c r="DB57" s="1">
        <f t="shared" si="29"/>
        <v>1957</v>
      </c>
      <c r="DC57" s="1">
        <f t="shared" si="29"/>
        <v>756</v>
      </c>
      <c r="DD57" s="1">
        <f t="shared" si="29"/>
        <v>1712</v>
      </c>
      <c r="DE57" s="1">
        <f t="shared" si="29"/>
        <v>986</v>
      </c>
      <c r="DF57" s="1">
        <f t="shared" si="29"/>
        <v>1008</v>
      </c>
      <c r="DG57" s="1">
        <f t="shared" si="29"/>
        <v>738</v>
      </c>
      <c r="DH57" s="1">
        <f t="shared" si="30"/>
        <v>1677</v>
      </c>
      <c r="DI57" s="1">
        <f t="shared" si="30"/>
        <v>356</v>
      </c>
      <c r="DJ57" s="1">
        <f t="shared" si="30"/>
        <v>757</v>
      </c>
      <c r="DK57" s="1">
        <f t="shared" si="30"/>
        <v>334</v>
      </c>
      <c r="DL57" s="9">
        <f t="shared" si="30"/>
        <v>20285</v>
      </c>
      <c r="DM57" s="1">
        <f t="shared" si="30"/>
        <v>0</v>
      </c>
      <c r="DN57" s="1">
        <f t="shared" si="30"/>
        <v>413</v>
      </c>
      <c r="DO57" s="1">
        <f t="shared" si="30"/>
        <v>1992</v>
      </c>
      <c r="DP57" s="1">
        <f t="shared" si="30"/>
        <v>2677</v>
      </c>
      <c r="DQ57" s="1">
        <f t="shared" si="30"/>
        <v>2112</v>
      </c>
      <c r="DR57" s="1">
        <f t="shared" si="31"/>
        <v>1103</v>
      </c>
      <c r="DS57" s="1">
        <f t="shared" si="31"/>
        <v>384</v>
      </c>
      <c r="DT57" s="1">
        <f t="shared" si="31"/>
        <v>1404</v>
      </c>
      <c r="DU57" s="1">
        <f t="shared" si="31"/>
        <v>1966</v>
      </c>
      <c r="DV57" s="1">
        <f t="shared" si="31"/>
        <v>803</v>
      </c>
      <c r="DW57" s="1">
        <f t="shared" si="31"/>
        <v>1762</v>
      </c>
      <c r="DX57" s="1">
        <f t="shared" si="31"/>
        <v>987</v>
      </c>
      <c r="DY57" s="1">
        <f t="shared" si="31"/>
        <v>1017</v>
      </c>
      <c r="DZ57" s="1">
        <f t="shared" si="31"/>
        <v>739</v>
      </c>
      <c r="EA57" s="1">
        <f t="shared" si="31"/>
        <v>1676</v>
      </c>
      <c r="EB57" s="1">
        <f t="shared" si="32"/>
        <v>357</v>
      </c>
      <c r="EC57" s="1">
        <f t="shared" si="32"/>
        <v>752</v>
      </c>
      <c r="ED57" s="1">
        <f t="shared" si="32"/>
        <v>322</v>
      </c>
      <c r="EE57" s="9">
        <f t="shared" si="32"/>
        <v>20466</v>
      </c>
      <c r="EF57" s="1">
        <f t="shared" si="32"/>
        <v>0</v>
      </c>
      <c r="EG57" s="1">
        <f t="shared" si="32"/>
        <v>413</v>
      </c>
      <c r="EH57" s="1">
        <f t="shared" si="32"/>
        <v>1998</v>
      </c>
      <c r="EI57" s="1">
        <f t="shared" si="32"/>
        <v>2702</v>
      </c>
      <c r="EJ57" s="1">
        <f t="shared" si="32"/>
        <v>2129</v>
      </c>
      <c r="EK57" s="1">
        <f t="shared" si="32"/>
        <v>1114</v>
      </c>
      <c r="EL57" s="1">
        <f t="shared" si="33"/>
        <v>386</v>
      </c>
      <c r="EM57" s="1">
        <f t="shared" si="33"/>
        <v>1406</v>
      </c>
      <c r="EN57" s="1">
        <f t="shared" si="33"/>
        <v>1973</v>
      </c>
      <c r="EO57" s="1">
        <f t="shared" si="33"/>
        <v>804</v>
      </c>
      <c r="EP57" s="1">
        <f t="shared" si="33"/>
        <v>1770</v>
      </c>
      <c r="EQ57" s="1">
        <f t="shared" si="33"/>
        <v>1003</v>
      </c>
      <c r="ER57" s="1">
        <f t="shared" si="33"/>
        <v>1018</v>
      </c>
      <c r="ES57" s="1">
        <f t="shared" si="33"/>
        <v>743</v>
      </c>
      <c r="ET57" s="1">
        <f t="shared" si="33"/>
        <v>1636</v>
      </c>
      <c r="EU57" s="1">
        <f t="shared" si="33"/>
        <v>368</v>
      </c>
      <c r="EV57" s="1">
        <f t="shared" si="34"/>
        <v>750</v>
      </c>
      <c r="EW57" s="1">
        <f t="shared" si="34"/>
        <v>259</v>
      </c>
      <c r="EX57" s="9">
        <f t="shared" si="34"/>
        <v>20472</v>
      </c>
      <c r="EY57" s="1">
        <f t="shared" si="34"/>
        <v>0</v>
      </c>
      <c r="EZ57" s="1">
        <f t="shared" si="34"/>
        <v>413</v>
      </c>
      <c r="FA57" s="1">
        <f t="shared" si="34"/>
        <v>1999</v>
      </c>
      <c r="FB57" s="1">
        <f t="shared" si="34"/>
        <v>2721</v>
      </c>
      <c r="FC57" s="1">
        <f t="shared" si="34"/>
        <v>2136</v>
      </c>
      <c r="FD57" s="1">
        <f t="shared" si="34"/>
        <v>1127</v>
      </c>
      <c r="FE57" s="1">
        <f t="shared" si="34"/>
        <v>417</v>
      </c>
      <c r="FF57" s="1">
        <f t="shared" si="35"/>
        <v>1406</v>
      </c>
      <c r="FG57" s="1">
        <f t="shared" si="35"/>
        <v>2021</v>
      </c>
      <c r="FH57" s="1">
        <f t="shared" si="35"/>
        <v>788</v>
      </c>
      <c r="FI57" s="1">
        <f t="shared" si="35"/>
        <v>1772</v>
      </c>
      <c r="FJ57" s="1">
        <f t="shared" si="35"/>
        <v>1005</v>
      </c>
      <c r="FK57" s="1">
        <f t="shared" si="35"/>
        <v>1018</v>
      </c>
      <c r="FL57" s="1">
        <f t="shared" si="35"/>
        <v>741</v>
      </c>
      <c r="FM57" s="1">
        <f t="shared" si="35"/>
        <v>1694</v>
      </c>
      <c r="FN57" s="1">
        <f t="shared" si="35"/>
        <v>367</v>
      </c>
      <c r="FO57" s="1">
        <f t="shared" si="35"/>
        <v>754</v>
      </c>
      <c r="FP57" s="1">
        <f t="shared" si="36"/>
        <v>261</v>
      </c>
      <c r="FQ57" s="9">
        <f t="shared" si="36"/>
        <v>20640</v>
      </c>
      <c r="FR57" s="1">
        <f t="shared" si="36"/>
        <v>0</v>
      </c>
      <c r="FS57" s="1">
        <f t="shared" si="36"/>
        <v>423</v>
      </c>
      <c r="FT57" s="1">
        <f t="shared" si="36"/>
        <v>2010</v>
      </c>
      <c r="FU57" s="1">
        <f t="shared" si="36"/>
        <v>2739</v>
      </c>
      <c r="FV57" s="1">
        <f t="shared" si="36"/>
        <v>2157</v>
      </c>
      <c r="FW57" s="1">
        <f t="shared" si="36"/>
        <v>1137</v>
      </c>
      <c r="FX57" s="1">
        <f t="shared" si="36"/>
        <v>423</v>
      </c>
      <c r="FY57" s="1">
        <f t="shared" si="36"/>
        <v>1405</v>
      </c>
      <c r="FZ57" s="1">
        <f t="shared" si="37"/>
        <v>2051</v>
      </c>
      <c r="GA57" s="1">
        <f t="shared" si="37"/>
        <v>805</v>
      </c>
      <c r="GB57" s="1">
        <f t="shared" si="37"/>
        <v>1777</v>
      </c>
      <c r="GC57" s="1">
        <f t="shared" si="37"/>
        <v>1007</v>
      </c>
      <c r="GD57" s="1">
        <f t="shared" si="37"/>
        <v>1016</v>
      </c>
      <c r="GE57" s="1">
        <f t="shared" si="37"/>
        <v>744</v>
      </c>
      <c r="GF57" s="1">
        <f t="shared" si="37"/>
        <v>1697</v>
      </c>
      <c r="GG57" s="1">
        <f t="shared" si="37"/>
        <v>365</v>
      </c>
      <c r="GH57" s="1">
        <f t="shared" si="37"/>
        <v>753</v>
      </c>
      <c r="GI57" s="1">
        <f t="shared" si="37"/>
        <v>260</v>
      </c>
      <c r="GJ57" s="9">
        <f t="shared" si="38"/>
        <v>20769</v>
      </c>
      <c r="GK57" s="1">
        <f t="shared" si="38"/>
        <v>0</v>
      </c>
      <c r="GL57" s="1">
        <f t="shared" si="38"/>
        <v>422</v>
      </c>
      <c r="GM57" s="1">
        <f t="shared" si="38"/>
        <v>2023</v>
      </c>
      <c r="GN57" s="1">
        <f t="shared" si="38"/>
        <v>2742</v>
      </c>
      <c r="GO57" s="1">
        <f t="shared" si="38"/>
        <v>2140</v>
      </c>
      <c r="GP57" s="1">
        <f t="shared" si="38"/>
        <v>1142</v>
      </c>
      <c r="GQ57" s="1">
        <f t="shared" si="38"/>
        <v>455</v>
      </c>
      <c r="GR57" s="1">
        <f t="shared" si="38"/>
        <v>1395</v>
      </c>
      <c r="GS57" s="1">
        <f t="shared" si="38"/>
        <v>2066</v>
      </c>
      <c r="GT57" s="1">
        <f t="shared" si="39"/>
        <v>826</v>
      </c>
      <c r="GU57" s="1">
        <f t="shared" si="39"/>
        <v>1834</v>
      </c>
      <c r="GV57" s="1">
        <f t="shared" si="39"/>
        <v>1015</v>
      </c>
      <c r="GW57" s="1">
        <f t="shared" si="39"/>
        <v>1017</v>
      </c>
      <c r="GX57" s="1">
        <f t="shared" si="39"/>
        <v>754</v>
      </c>
      <c r="GY57" s="1">
        <f t="shared" si="39"/>
        <v>1708</v>
      </c>
      <c r="GZ57" s="1">
        <f t="shared" si="39"/>
        <v>367</v>
      </c>
      <c r="HA57" s="1">
        <f t="shared" si="39"/>
        <v>757</v>
      </c>
      <c r="HB57" s="1">
        <f t="shared" si="39"/>
        <v>244</v>
      </c>
      <c r="HC57" s="9">
        <f t="shared" si="39"/>
        <v>20907</v>
      </c>
      <c r="HD57" s="1">
        <f t="shared" si="40"/>
        <v>0</v>
      </c>
      <c r="HE57" s="1">
        <f t="shared" si="40"/>
        <v>432</v>
      </c>
      <c r="HF57" s="1">
        <f t="shared" si="40"/>
        <v>2032</v>
      </c>
      <c r="HG57" s="1">
        <f t="shared" si="40"/>
        <v>2749</v>
      </c>
      <c r="HH57" s="1">
        <f t="shared" si="40"/>
        <v>2167</v>
      </c>
      <c r="HI57" s="1">
        <f t="shared" si="40"/>
        <v>1139</v>
      </c>
      <c r="HJ57" s="1">
        <f t="shared" si="40"/>
        <v>473</v>
      </c>
      <c r="HK57" s="1">
        <f t="shared" si="40"/>
        <v>1395</v>
      </c>
      <c r="HL57" s="1">
        <f t="shared" si="40"/>
        <v>2079</v>
      </c>
      <c r="HM57" s="1">
        <f t="shared" si="40"/>
        <v>828</v>
      </c>
      <c r="HN57" s="1">
        <f t="shared" si="41"/>
        <v>1871</v>
      </c>
      <c r="HO57" s="1">
        <f t="shared" si="41"/>
        <v>1026</v>
      </c>
      <c r="HP57" s="1">
        <f t="shared" si="41"/>
        <v>1043</v>
      </c>
      <c r="HQ57" s="1">
        <f t="shared" si="41"/>
        <v>769</v>
      </c>
      <c r="HR57" s="1">
        <f t="shared" si="41"/>
        <v>1761</v>
      </c>
      <c r="HS57" s="1">
        <f t="shared" si="41"/>
        <v>369</v>
      </c>
      <c r="HT57" s="1">
        <f t="shared" si="41"/>
        <v>760</v>
      </c>
      <c r="HU57" s="1">
        <f t="shared" si="41"/>
        <v>259</v>
      </c>
      <c r="HV57" s="9">
        <f t="shared" si="41"/>
        <v>21152</v>
      </c>
      <c r="HW57" s="1">
        <f t="shared" si="0"/>
        <v>245088</v>
      </c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</row>
    <row r="58" spans="1:249" x14ac:dyDescent="0.4">
      <c r="B58" t="s">
        <v>39</v>
      </c>
      <c r="C58">
        <v>0</v>
      </c>
      <c r="D58" s="1">
        <v>0</v>
      </c>
      <c r="E58" s="1">
        <v>3459</v>
      </c>
      <c r="F58" s="1">
        <v>6600</v>
      </c>
      <c r="G58" s="1">
        <v>6194</v>
      </c>
      <c r="H58" s="1">
        <v>488</v>
      </c>
      <c r="I58" s="1">
        <v>3846</v>
      </c>
      <c r="J58" s="1">
        <v>4875</v>
      </c>
      <c r="K58" s="1">
        <v>5127</v>
      </c>
      <c r="L58" s="1">
        <v>4364</v>
      </c>
      <c r="M58" s="1">
        <v>5353</v>
      </c>
      <c r="N58" s="1">
        <v>3540</v>
      </c>
      <c r="O58" s="1">
        <v>6847</v>
      </c>
      <c r="P58" s="1">
        <v>1967</v>
      </c>
      <c r="Q58" s="1">
        <v>7697</v>
      </c>
      <c r="R58" s="1">
        <v>1450</v>
      </c>
      <c r="S58" s="1">
        <v>522</v>
      </c>
      <c r="T58" s="1">
        <v>3879</v>
      </c>
      <c r="U58" s="9">
        <v>66208</v>
      </c>
      <c r="V58" s="1">
        <f t="shared" si="21"/>
        <v>0</v>
      </c>
      <c r="W58" s="1">
        <f t="shared" si="21"/>
        <v>0</v>
      </c>
      <c r="X58" s="1">
        <f t="shared" si="21"/>
        <v>3481</v>
      </c>
      <c r="Y58" s="1">
        <f t="shared" si="21"/>
        <v>6721</v>
      </c>
      <c r="Z58" s="1">
        <f t="shared" si="21"/>
        <v>6167</v>
      </c>
      <c r="AA58" s="1">
        <f t="shared" si="21"/>
        <v>482</v>
      </c>
      <c r="AB58" s="1">
        <f t="shared" si="21"/>
        <v>3900</v>
      </c>
      <c r="AC58" s="1">
        <f t="shared" si="21"/>
        <v>4962</v>
      </c>
      <c r="AD58" s="1">
        <f t="shared" si="21"/>
        <v>5166</v>
      </c>
      <c r="AE58" s="1">
        <f t="shared" si="21"/>
        <v>4152</v>
      </c>
      <c r="AF58" s="1">
        <f t="shared" si="22"/>
        <v>5526</v>
      </c>
      <c r="AG58" s="1">
        <f t="shared" si="22"/>
        <v>3534</v>
      </c>
      <c r="AH58" s="1">
        <f t="shared" si="22"/>
        <v>6937</v>
      </c>
      <c r="AI58" s="1">
        <f t="shared" si="22"/>
        <v>1967</v>
      </c>
      <c r="AJ58" s="1">
        <f t="shared" si="22"/>
        <v>7723</v>
      </c>
      <c r="AK58" s="1">
        <f t="shared" si="22"/>
        <v>1462</v>
      </c>
      <c r="AL58" s="1">
        <f t="shared" si="22"/>
        <v>535</v>
      </c>
      <c r="AM58" s="1">
        <f t="shared" si="22"/>
        <v>3924</v>
      </c>
      <c r="AN58" s="9">
        <f t="shared" si="22"/>
        <v>66639</v>
      </c>
      <c r="AO58" s="1">
        <f t="shared" si="22"/>
        <v>0</v>
      </c>
      <c r="AP58" s="1">
        <f t="shared" si="23"/>
        <v>0</v>
      </c>
      <c r="AQ58" s="1">
        <f t="shared" si="23"/>
        <v>3460</v>
      </c>
      <c r="AR58" s="1">
        <f t="shared" si="23"/>
        <v>6808</v>
      </c>
      <c r="AS58" s="1">
        <f t="shared" si="23"/>
        <v>6224</v>
      </c>
      <c r="AT58" s="1">
        <f t="shared" si="23"/>
        <v>483</v>
      </c>
      <c r="AU58" s="1">
        <f t="shared" si="23"/>
        <v>3917</v>
      </c>
      <c r="AV58" s="1">
        <f t="shared" si="23"/>
        <v>4981</v>
      </c>
      <c r="AW58" s="1">
        <f t="shared" si="23"/>
        <v>5277</v>
      </c>
      <c r="AX58" s="1">
        <f t="shared" si="23"/>
        <v>4137</v>
      </c>
      <c r="AY58" s="1">
        <f t="shared" si="23"/>
        <v>5570</v>
      </c>
      <c r="AZ58" s="1">
        <f t="shared" si="24"/>
        <v>3558</v>
      </c>
      <c r="BA58" s="1">
        <f t="shared" si="24"/>
        <v>6977</v>
      </c>
      <c r="BB58" s="1">
        <f t="shared" si="24"/>
        <v>1966</v>
      </c>
      <c r="BC58" s="1">
        <f t="shared" si="24"/>
        <v>7874</v>
      </c>
      <c r="BD58" s="1">
        <f t="shared" si="24"/>
        <v>1462</v>
      </c>
      <c r="BE58" s="1">
        <f t="shared" si="24"/>
        <v>527</v>
      </c>
      <c r="BF58" s="1">
        <f t="shared" si="24"/>
        <v>3988</v>
      </c>
      <c r="BG58" s="9">
        <f t="shared" si="24"/>
        <v>67209</v>
      </c>
      <c r="BH58" s="1">
        <f t="shared" si="24"/>
        <v>0</v>
      </c>
      <c r="BI58" s="1">
        <f t="shared" si="24"/>
        <v>0</v>
      </c>
      <c r="BJ58" s="1">
        <f t="shared" si="25"/>
        <v>3449</v>
      </c>
      <c r="BK58" s="1">
        <f t="shared" si="25"/>
        <v>6837</v>
      </c>
      <c r="BL58" s="1">
        <f t="shared" si="25"/>
        <v>6255</v>
      </c>
      <c r="BM58" s="1">
        <f t="shared" si="25"/>
        <v>521</v>
      </c>
      <c r="BN58" s="1">
        <f t="shared" si="25"/>
        <v>3978</v>
      </c>
      <c r="BO58" s="1">
        <f t="shared" si="25"/>
        <v>5003</v>
      </c>
      <c r="BP58" s="1">
        <f t="shared" si="25"/>
        <v>5330</v>
      </c>
      <c r="BQ58" s="1">
        <f t="shared" si="25"/>
        <v>4139</v>
      </c>
      <c r="BR58" s="1">
        <f t="shared" si="25"/>
        <v>5644</v>
      </c>
      <c r="BS58" s="1">
        <f t="shared" si="25"/>
        <v>3549</v>
      </c>
      <c r="BT58" s="1">
        <f t="shared" si="26"/>
        <v>7014</v>
      </c>
      <c r="BU58" s="1">
        <f t="shared" si="26"/>
        <v>1969</v>
      </c>
      <c r="BV58" s="1">
        <f t="shared" si="26"/>
        <v>7899</v>
      </c>
      <c r="BW58" s="1">
        <f t="shared" si="26"/>
        <v>1499</v>
      </c>
      <c r="BX58" s="1">
        <f t="shared" si="26"/>
        <v>522</v>
      </c>
      <c r="BY58" s="1">
        <f t="shared" si="26"/>
        <v>4059</v>
      </c>
      <c r="BZ58" s="9">
        <f t="shared" si="26"/>
        <v>67667</v>
      </c>
      <c r="CA58" s="1">
        <f t="shared" si="26"/>
        <v>0</v>
      </c>
      <c r="CB58" s="1">
        <f t="shared" si="26"/>
        <v>0</v>
      </c>
      <c r="CC58" s="1">
        <f t="shared" si="26"/>
        <v>3483</v>
      </c>
      <c r="CD58" s="1">
        <f t="shared" si="27"/>
        <v>6919</v>
      </c>
      <c r="CE58" s="1">
        <f t="shared" si="27"/>
        <v>6304</v>
      </c>
      <c r="CF58" s="1">
        <f t="shared" si="27"/>
        <v>527</v>
      </c>
      <c r="CG58" s="1">
        <f t="shared" si="27"/>
        <v>3974</v>
      </c>
      <c r="CH58" s="1">
        <f t="shared" si="27"/>
        <v>5017</v>
      </c>
      <c r="CI58" s="1">
        <f t="shared" si="27"/>
        <v>5463</v>
      </c>
      <c r="CJ58" s="1">
        <f t="shared" si="27"/>
        <v>4109</v>
      </c>
      <c r="CK58" s="1">
        <f t="shared" si="27"/>
        <v>5642</v>
      </c>
      <c r="CL58" s="1">
        <f t="shared" si="27"/>
        <v>3624</v>
      </c>
      <c r="CM58" s="1">
        <f t="shared" si="27"/>
        <v>7208</v>
      </c>
      <c r="CN58" s="1">
        <f t="shared" si="28"/>
        <v>1990</v>
      </c>
      <c r="CO58" s="1">
        <f t="shared" si="28"/>
        <v>7939</v>
      </c>
      <c r="CP58" s="1">
        <f t="shared" si="28"/>
        <v>1642</v>
      </c>
      <c r="CQ58" s="1">
        <f t="shared" si="28"/>
        <v>525</v>
      </c>
      <c r="CR58" s="1">
        <f t="shared" si="28"/>
        <v>4103</v>
      </c>
      <c r="CS58" s="9">
        <f t="shared" si="28"/>
        <v>68469</v>
      </c>
      <c r="CT58" s="1">
        <f t="shared" si="28"/>
        <v>0</v>
      </c>
      <c r="CU58" s="1">
        <f t="shared" si="28"/>
        <v>0</v>
      </c>
      <c r="CV58" s="1">
        <f t="shared" si="28"/>
        <v>3496</v>
      </c>
      <c r="CW58" s="1">
        <f t="shared" si="28"/>
        <v>6904</v>
      </c>
      <c r="CX58" s="1">
        <f t="shared" si="29"/>
        <v>6285</v>
      </c>
      <c r="CY58" s="1">
        <f t="shared" si="29"/>
        <v>522</v>
      </c>
      <c r="CZ58" s="1">
        <f t="shared" si="29"/>
        <v>3998</v>
      </c>
      <c r="DA58" s="1">
        <f t="shared" si="29"/>
        <v>5007</v>
      </c>
      <c r="DB58" s="1">
        <f t="shared" si="29"/>
        <v>5498</v>
      </c>
      <c r="DC58" s="1">
        <f t="shared" si="29"/>
        <v>4092</v>
      </c>
      <c r="DD58" s="1">
        <f t="shared" si="29"/>
        <v>5675</v>
      </c>
      <c r="DE58" s="1">
        <f t="shared" si="29"/>
        <v>3676</v>
      </c>
      <c r="DF58" s="1">
        <f t="shared" si="29"/>
        <v>7337</v>
      </c>
      <c r="DG58" s="1">
        <f t="shared" si="29"/>
        <v>2001</v>
      </c>
      <c r="DH58" s="1">
        <f t="shared" si="30"/>
        <v>7941</v>
      </c>
      <c r="DI58" s="1">
        <f t="shared" si="30"/>
        <v>1697</v>
      </c>
      <c r="DJ58" s="1">
        <f t="shared" si="30"/>
        <v>525</v>
      </c>
      <c r="DK58" s="1">
        <f t="shared" si="30"/>
        <v>4126</v>
      </c>
      <c r="DL58" s="9">
        <f t="shared" si="30"/>
        <v>68780</v>
      </c>
      <c r="DM58" s="1">
        <f t="shared" si="30"/>
        <v>0</v>
      </c>
      <c r="DN58" s="1">
        <f t="shared" si="30"/>
        <v>0</v>
      </c>
      <c r="DO58" s="1">
        <f t="shared" si="30"/>
        <v>3506</v>
      </c>
      <c r="DP58" s="1">
        <f t="shared" si="30"/>
        <v>7050</v>
      </c>
      <c r="DQ58" s="1">
        <f t="shared" si="30"/>
        <v>6343</v>
      </c>
      <c r="DR58" s="1">
        <f t="shared" si="31"/>
        <v>529</v>
      </c>
      <c r="DS58" s="1">
        <f t="shared" si="31"/>
        <v>4010</v>
      </c>
      <c r="DT58" s="1">
        <f t="shared" si="31"/>
        <v>5004</v>
      </c>
      <c r="DU58" s="1">
        <f t="shared" si="31"/>
        <v>5663</v>
      </c>
      <c r="DV58" s="1">
        <f t="shared" si="31"/>
        <v>4103</v>
      </c>
      <c r="DW58" s="1">
        <f t="shared" si="31"/>
        <v>5645</v>
      </c>
      <c r="DX58" s="1">
        <f t="shared" si="31"/>
        <v>3635</v>
      </c>
      <c r="DY58" s="1">
        <f t="shared" si="31"/>
        <v>7470</v>
      </c>
      <c r="DZ58" s="1">
        <f t="shared" si="31"/>
        <v>2015</v>
      </c>
      <c r="EA58" s="1">
        <f t="shared" si="31"/>
        <v>7913</v>
      </c>
      <c r="EB58" s="1">
        <f t="shared" si="32"/>
        <v>1710</v>
      </c>
      <c r="EC58" s="1">
        <f t="shared" si="32"/>
        <v>544</v>
      </c>
      <c r="ED58" s="1">
        <f t="shared" si="32"/>
        <v>4164</v>
      </c>
      <c r="EE58" s="9">
        <f t="shared" si="32"/>
        <v>69304</v>
      </c>
      <c r="EF58" s="1">
        <f t="shared" si="32"/>
        <v>0</v>
      </c>
      <c r="EG58" s="1">
        <f t="shared" si="32"/>
        <v>6</v>
      </c>
      <c r="EH58" s="1">
        <f t="shared" si="32"/>
        <v>3531</v>
      </c>
      <c r="EI58" s="1">
        <f t="shared" si="32"/>
        <v>7079</v>
      </c>
      <c r="EJ58" s="1">
        <f t="shared" si="32"/>
        <v>6411</v>
      </c>
      <c r="EK58" s="1">
        <f t="shared" si="32"/>
        <v>531</v>
      </c>
      <c r="EL58" s="1">
        <f t="shared" si="33"/>
        <v>4203</v>
      </c>
      <c r="EM58" s="1">
        <f t="shared" si="33"/>
        <v>5029</v>
      </c>
      <c r="EN58" s="1">
        <f t="shared" si="33"/>
        <v>5736</v>
      </c>
      <c r="EO58" s="1">
        <f t="shared" si="33"/>
        <v>4110</v>
      </c>
      <c r="EP58" s="1">
        <f t="shared" si="33"/>
        <v>5638</v>
      </c>
      <c r="EQ58" s="1">
        <f t="shared" si="33"/>
        <v>3730</v>
      </c>
      <c r="ER58" s="1">
        <f t="shared" si="33"/>
        <v>7535</v>
      </c>
      <c r="ES58" s="1">
        <f t="shared" si="33"/>
        <v>2045</v>
      </c>
      <c r="ET58" s="1">
        <f t="shared" si="33"/>
        <v>8086</v>
      </c>
      <c r="EU58" s="1">
        <f t="shared" si="33"/>
        <v>1726</v>
      </c>
      <c r="EV58" s="1">
        <f t="shared" si="34"/>
        <v>545</v>
      </c>
      <c r="EW58" s="1">
        <f t="shared" si="34"/>
        <v>4188</v>
      </c>
      <c r="EX58" s="9">
        <f t="shared" si="34"/>
        <v>70129</v>
      </c>
      <c r="EY58" s="1">
        <f t="shared" si="34"/>
        <v>0</v>
      </c>
      <c r="EZ58" s="1">
        <f t="shared" si="34"/>
        <v>6</v>
      </c>
      <c r="FA58" s="1">
        <f t="shared" si="34"/>
        <v>3523</v>
      </c>
      <c r="FB58" s="1">
        <f t="shared" si="34"/>
        <v>7127</v>
      </c>
      <c r="FC58" s="1">
        <f t="shared" si="34"/>
        <v>6470</v>
      </c>
      <c r="FD58" s="1">
        <f t="shared" si="34"/>
        <v>532</v>
      </c>
      <c r="FE58" s="1">
        <f t="shared" si="34"/>
        <v>4175</v>
      </c>
      <c r="FF58" s="1">
        <f t="shared" si="35"/>
        <v>5028</v>
      </c>
      <c r="FG58" s="1">
        <f t="shared" si="35"/>
        <v>5735</v>
      </c>
      <c r="FH58" s="1">
        <f t="shared" si="35"/>
        <v>4123</v>
      </c>
      <c r="FI58" s="1">
        <f t="shared" si="35"/>
        <v>5622</v>
      </c>
      <c r="FJ58" s="1">
        <f t="shared" si="35"/>
        <v>3776</v>
      </c>
      <c r="FK58" s="1">
        <f t="shared" si="35"/>
        <v>7618</v>
      </c>
      <c r="FL58" s="1">
        <f t="shared" si="35"/>
        <v>2036</v>
      </c>
      <c r="FM58" s="1">
        <f t="shared" si="35"/>
        <v>8171</v>
      </c>
      <c r="FN58" s="1">
        <f t="shared" si="35"/>
        <v>1751</v>
      </c>
      <c r="FO58" s="1">
        <f t="shared" si="35"/>
        <v>543</v>
      </c>
      <c r="FP58" s="1">
        <f t="shared" si="36"/>
        <v>4175</v>
      </c>
      <c r="FQ58" s="9">
        <f t="shared" si="36"/>
        <v>70411</v>
      </c>
      <c r="FR58" s="1">
        <f t="shared" si="36"/>
        <v>0</v>
      </c>
      <c r="FS58" s="1">
        <f t="shared" si="36"/>
        <v>6</v>
      </c>
      <c r="FT58" s="1">
        <f t="shared" si="36"/>
        <v>3543</v>
      </c>
      <c r="FU58" s="1">
        <f t="shared" si="36"/>
        <v>7182</v>
      </c>
      <c r="FV58" s="1">
        <f t="shared" si="36"/>
        <v>6545</v>
      </c>
      <c r="FW58" s="1">
        <f t="shared" si="36"/>
        <v>534</v>
      </c>
      <c r="FX58" s="1">
        <f t="shared" si="36"/>
        <v>4169</v>
      </c>
      <c r="FY58" s="1">
        <f t="shared" si="36"/>
        <v>5034</v>
      </c>
      <c r="FZ58" s="1">
        <f t="shared" si="37"/>
        <v>5763</v>
      </c>
      <c r="GA58" s="1">
        <f t="shared" si="37"/>
        <v>4162</v>
      </c>
      <c r="GB58" s="1">
        <f t="shared" si="37"/>
        <v>5605</v>
      </c>
      <c r="GC58" s="1">
        <f t="shared" si="37"/>
        <v>3760</v>
      </c>
      <c r="GD58" s="1">
        <f t="shared" si="37"/>
        <v>7638</v>
      </c>
      <c r="GE58" s="1">
        <f t="shared" si="37"/>
        <v>2044</v>
      </c>
      <c r="GF58" s="1">
        <f t="shared" si="37"/>
        <v>8165</v>
      </c>
      <c r="GG58" s="1">
        <f t="shared" si="37"/>
        <v>1776</v>
      </c>
      <c r="GH58" s="1">
        <f t="shared" si="37"/>
        <v>535</v>
      </c>
      <c r="GI58" s="1">
        <f t="shared" si="37"/>
        <v>4195</v>
      </c>
      <c r="GJ58" s="9">
        <f t="shared" si="38"/>
        <v>70656</v>
      </c>
      <c r="GK58" s="1">
        <f t="shared" si="38"/>
        <v>0</v>
      </c>
      <c r="GL58" s="1">
        <f t="shared" si="38"/>
        <v>6</v>
      </c>
      <c r="GM58" s="1">
        <f t="shared" si="38"/>
        <v>3532</v>
      </c>
      <c r="GN58" s="1">
        <f t="shared" si="38"/>
        <v>7179</v>
      </c>
      <c r="GO58" s="1">
        <f t="shared" si="38"/>
        <v>6518</v>
      </c>
      <c r="GP58" s="1">
        <f t="shared" si="38"/>
        <v>531</v>
      </c>
      <c r="GQ58" s="1">
        <f t="shared" si="38"/>
        <v>4187</v>
      </c>
      <c r="GR58" s="1">
        <f t="shared" si="38"/>
        <v>5019</v>
      </c>
      <c r="GS58" s="1">
        <f t="shared" si="38"/>
        <v>5781</v>
      </c>
      <c r="GT58" s="1">
        <f t="shared" si="39"/>
        <v>4178</v>
      </c>
      <c r="GU58" s="1">
        <f t="shared" si="39"/>
        <v>5615</v>
      </c>
      <c r="GV58" s="1">
        <f t="shared" si="39"/>
        <v>3757</v>
      </c>
      <c r="GW58" s="1">
        <f t="shared" si="39"/>
        <v>7622</v>
      </c>
      <c r="GX58" s="1">
        <f t="shared" si="39"/>
        <v>2039</v>
      </c>
      <c r="GY58" s="1">
        <f t="shared" si="39"/>
        <v>8230</v>
      </c>
      <c r="GZ58" s="1">
        <f t="shared" si="39"/>
        <v>1778</v>
      </c>
      <c r="HA58" s="1">
        <f t="shared" si="39"/>
        <v>540</v>
      </c>
      <c r="HB58" s="1">
        <f t="shared" si="39"/>
        <v>4195</v>
      </c>
      <c r="HC58" s="9">
        <f t="shared" si="39"/>
        <v>70707</v>
      </c>
      <c r="HD58" s="1">
        <f t="shared" si="40"/>
        <v>0</v>
      </c>
      <c r="HE58" s="1">
        <f t="shared" si="40"/>
        <v>17</v>
      </c>
      <c r="HF58" s="1">
        <f t="shared" si="40"/>
        <v>3524</v>
      </c>
      <c r="HG58" s="1">
        <f t="shared" si="40"/>
        <v>7183</v>
      </c>
      <c r="HH58" s="1">
        <f t="shared" si="40"/>
        <v>6445</v>
      </c>
      <c r="HI58" s="1">
        <f t="shared" si="40"/>
        <v>523</v>
      </c>
      <c r="HJ58" s="1">
        <f t="shared" si="40"/>
        <v>4161</v>
      </c>
      <c r="HK58" s="1">
        <f t="shared" si="40"/>
        <v>5025</v>
      </c>
      <c r="HL58" s="1">
        <f t="shared" si="40"/>
        <v>5852</v>
      </c>
      <c r="HM58" s="1">
        <f t="shared" si="40"/>
        <v>4187</v>
      </c>
      <c r="HN58" s="1">
        <f t="shared" si="41"/>
        <v>5613</v>
      </c>
      <c r="HO58" s="1">
        <f t="shared" si="41"/>
        <v>3753</v>
      </c>
      <c r="HP58" s="1">
        <f t="shared" si="41"/>
        <v>7539</v>
      </c>
      <c r="HQ58" s="1">
        <f t="shared" si="41"/>
        <v>2048</v>
      </c>
      <c r="HR58" s="1">
        <f t="shared" si="41"/>
        <v>8233</v>
      </c>
      <c r="HS58" s="1">
        <f t="shared" si="41"/>
        <v>1753</v>
      </c>
      <c r="HT58" s="1">
        <f t="shared" si="41"/>
        <v>534</v>
      </c>
      <c r="HU58" s="1">
        <f t="shared" si="41"/>
        <v>4209</v>
      </c>
      <c r="HV58" s="9">
        <f t="shared" si="41"/>
        <v>70599</v>
      </c>
      <c r="HW58" s="1">
        <f t="shared" si="0"/>
        <v>826778</v>
      </c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</row>
    <row r="59" spans="1:249" x14ac:dyDescent="0.4">
      <c r="B59" t="s">
        <v>38</v>
      </c>
      <c r="C59">
        <v>0</v>
      </c>
      <c r="D59" s="1">
        <v>0</v>
      </c>
      <c r="E59" s="1">
        <v>774</v>
      </c>
      <c r="F59" s="1">
        <v>1697</v>
      </c>
      <c r="G59" s="1">
        <v>1544</v>
      </c>
      <c r="H59" s="1">
        <v>118</v>
      </c>
      <c r="I59" s="1">
        <v>772</v>
      </c>
      <c r="J59" s="1">
        <v>597</v>
      </c>
      <c r="K59" s="1">
        <v>1091</v>
      </c>
      <c r="L59" s="1">
        <v>1361</v>
      </c>
      <c r="M59" s="1">
        <v>2164</v>
      </c>
      <c r="N59" s="1">
        <v>835</v>
      </c>
      <c r="O59" s="1">
        <v>1196</v>
      </c>
      <c r="P59" s="1">
        <v>485</v>
      </c>
      <c r="Q59" s="1">
        <v>1983</v>
      </c>
      <c r="R59" s="1">
        <v>348</v>
      </c>
      <c r="S59" s="1">
        <v>159</v>
      </c>
      <c r="T59" s="1">
        <v>624</v>
      </c>
      <c r="U59" s="9">
        <v>15748</v>
      </c>
      <c r="V59" s="1">
        <f t="shared" si="21"/>
        <v>0</v>
      </c>
      <c r="W59" s="1">
        <f t="shared" si="21"/>
        <v>0</v>
      </c>
      <c r="X59" s="1">
        <f t="shared" si="21"/>
        <v>783</v>
      </c>
      <c r="Y59" s="1">
        <f t="shared" si="21"/>
        <v>1705</v>
      </c>
      <c r="Z59" s="1">
        <f t="shared" si="21"/>
        <v>1665</v>
      </c>
      <c r="AA59" s="1">
        <f t="shared" si="21"/>
        <v>124</v>
      </c>
      <c r="AB59" s="1">
        <f t="shared" si="21"/>
        <v>773</v>
      </c>
      <c r="AC59" s="1">
        <f t="shared" si="21"/>
        <v>596</v>
      </c>
      <c r="AD59" s="1">
        <f t="shared" si="21"/>
        <v>1109</v>
      </c>
      <c r="AE59" s="1">
        <f t="shared" si="21"/>
        <v>1174</v>
      </c>
      <c r="AF59" s="1">
        <f t="shared" si="22"/>
        <v>2162</v>
      </c>
      <c r="AG59" s="1">
        <f t="shared" si="22"/>
        <v>832</v>
      </c>
      <c r="AH59" s="1">
        <f t="shared" si="22"/>
        <v>1201</v>
      </c>
      <c r="AI59" s="1">
        <f t="shared" si="22"/>
        <v>488</v>
      </c>
      <c r="AJ59" s="1">
        <f t="shared" si="22"/>
        <v>2003</v>
      </c>
      <c r="AK59" s="1">
        <f t="shared" si="22"/>
        <v>346</v>
      </c>
      <c r="AL59" s="1">
        <f t="shared" si="22"/>
        <v>160</v>
      </c>
      <c r="AM59" s="1">
        <f t="shared" si="22"/>
        <v>638</v>
      </c>
      <c r="AN59" s="9">
        <f t="shared" si="22"/>
        <v>15759</v>
      </c>
      <c r="AO59" s="1">
        <f t="shared" si="22"/>
        <v>0</v>
      </c>
      <c r="AP59" s="1">
        <f t="shared" si="23"/>
        <v>0</v>
      </c>
      <c r="AQ59" s="1">
        <f t="shared" si="23"/>
        <v>790</v>
      </c>
      <c r="AR59" s="1">
        <f t="shared" si="23"/>
        <v>1729</v>
      </c>
      <c r="AS59" s="1">
        <f t="shared" si="23"/>
        <v>1665</v>
      </c>
      <c r="AT59" s="1">
        <f t="shared" si="23"/>
        <v>124</v>
      </c>
      <c r="AU59" s="1">
        <f t="shared" si="23"/>
        <v>779</v>
      </c>
      <c r="AV59" s="1">
        <f t="shared" si="23"/>
        <v>596</v>
      </c>
      <c r="AW59" s="1">
        <f t="shared" si="23"/>
        <v>1112</v>
      </c>
      <c r="AX59" s="1">
        <f t="shared" si="23"/>
        <v>1182</v>
      </c>
      <c r="AY59" s="1">
        <f t="shared" si="23"/>
        <v>2162</v>
      </c>
      <c r="AZ59" s="1">
        <f t="shared" si="24"/>
        <v>832</v>
      </c>
      <c r="BA59" s="1">
        <f t="shared" si="24"/>
        <v>1218</v>
      </c>
      <c r="BB59" s="1">
        <f t="shared" si="24"/>
        <v>489</v>
      </c>
      <c r="BC59" s="1">
        <f t="shared" si="24"/>
        <v>2007</v>
      </c>
      <c r="BD59" s="1">
        <f t="shared" si="24"/>
        <v>342</v>
      </c>
      <c r="BE59" s="1">
        <f t="shared" si="24"/>
        <v>165</v>
      </c>
      <c r="BF59" s="1">
        <f t="shared" si="24"/>
        <v>618</v>
      </c>
      <c r="BG59" s="9">
        <f t="shared" si="24"/>
        <v>15810</v>
      </c>
      <c r="BH59" s="1">
        <f t="shared" si="24"/>
        <v>0</v>
      </c>
      <c r="BI59" s="1">
        <f t="shared" si="24"/>
        <v>4</v>
      </c>
      <c r="BJ59" s="1">
        <f t="shared" si="25"/>
        <v>799</v>
      </c>
      <c r="BK59" s="1">
        <f t="shared" si="25"/>
        <v>1759</v>
      </c>
      <c r="BL59" s="1">
        <f t="shared" si="25"/>
        <v>1670</v>
      </c>
      <c r="BM59" s="1">
        <f t="shared" si="25"/>
        <v>133</v>
      </c>
      <c r="BN59" s="1">
        <f t="shared" si="25"/>
        <v>796</v>
      </c>
      <c r="BO59" s="1">
        <f t="shared" si="25"/>
        <v>602</v>
      </c>
      <c r="BP59" s="1">
        <f t="shared" si="25"/>
        <v>1104</v>
      </c>
      <c r="BQ59" s="1">
        <f t="shared" si="25"/>
        <v>1190</v>
      </c>
      <c r="BR59" s="1">
        <f t="shared" si="25"/>
        <v>2152</v>
      </c>
      <c r="BS59" s="1">
        <f t="shared" si="25"/>
        <v>838</v>
      </c>
      <c r="BT59" s="1">
        <f t="shared" si="26"/>
        <v>1263</v>
      </c>
      <c r="BU59" s="1">
        <f t="shared" si="26"/>
        <v>491</v>
      </c>
      <c r="BV59" s="1">
        <f t="shared" si="26"/>
        <v>2006</v>
      </c>
      <c r="BW59" s="1">
        <f t="shared" si="26"/>
        <v>342</v>
      </c>
      <c r="BX59" s="1">
        <f t="shared" si="26"/>
        <v>165</v>
      </c>
      <c r="BY59" s="1">
        <f t="shared" si="26"/>
        <v>595</v>
      </c>
      <c r="BZ59" s="9">
        <f t="shared" si="26"/>
        <v>15909</v>
      </c>
      <c r="CA59" s="1">
        <f t="shared" si="26"/>
        <v>0</v>
      </c>
      <c r="CB59" s="1">
        <f t="shared" si="26"/>
        <v>4</v>
      </c>
      <c r="CC59" s="1">
        <f t="shared" si="26"/>
        <v>805</v>
      </c>
      <c r="CD59" s="1">
        <f t="shared" si="27"/>
        <v>1742</v>
      </c>
      <c r="CE59" s="1">
        <f t="shared" si="27"/>
        <v>1672</v>
      </c>
      <c r="CF59" s="1">
        <f t="shared" si="27"/>
        <v>128</v>
      </c>
      <c r="CG59" s="1">
        <f t="shared" si="27"/>
        <v>805</v>
      </c>
      <c r="CH59" s="1">
        <f t="shared" si="27"/>
        <v>605</v>
      </c>
      <c r="CI59" s="1">
        <f t="shared" si="27"/>
        <v>1104</v>
      </c>
      <c r="CJ59" s="1">
        <f t="shared" si="27"/>
        <v>1218</v>
      </c>
      <c r="CK59" s="1">
        <f t="shared" si="27"/>
        <v>2135</v>
      </c>
      <c r="CL59" s="1">
        <f t="shared" si="27"/>
        <v>821</v>
      </c>
      <c r="CM59" s="1">
        <f t="shared" si="27"/>
        <v>1256</v>
      </c>
      <c r="CN59" s="1">
        <f t="shared" si="28"/>
        <v>497</v>
      </c>
      <c r="CO59" s="1">
        <f t="shared" si="28"/>
        <v>2008</v>
      </c>
      <c r="CP59" s="1">
        <f t="shared" si="28"/>
        <v>351</v>
      </c>
      <c r="CQ59" s="1">
        <f t="shared" si="28"/>
        <v>167</v>
      </c>
      <c r="CR59" s="1">
        <f t="shared" si="28"/>
        <v>595</v>
      </c>
      <c r="CS59" s="9">
        <f t="shared" si="28"/>
        <v>15913</v>
      </c>
      <c r="CT59" s="1">
        <f t="shared" si="28"/>
        <v>0</v>
      </c>
      <c r="CU59" s="1">
        <f t="shared" si="28"/>
        <v>4</v>
      </c>
      <c r="CV59" s="1">
        <f t="shared" si="28"/>
        <v>808</v>
      </c>
      <c r="CW59" s="1">
        <f t="shared" si="28"/>
        <v>1745</v>
      </c>
      <c r="CX59" s="1">
        <f t="shared" si="29"/>
        <v>1670</v>
      </c>
      <c r="CY59" s="1">
        <f t="shared" si="29"/>
        <v>130</v>
      </c>
      <c r="CZ59" s="1">
        <f t="shared" si="29"/>
        <v>785</v>
      </c>
      <c r="DA59" s="1">
        <f t="shared" si="29"/>
        <v>603</v>
      </c>
      <c r="DB59" s="1">
        <f t="shared" si="29"/>
        <v>1102</v>
      </c>
      <c r="DC59" s="1">
        <f t="shared" si="29"/>
        <v>1216</v>
      </c>
      <c r="DD59" s="1">
        <f t="shared" si="29"/>
        <v>2121</v>
      </c>
      <c r="DE59" s="1">
        <f t="shared" si="29"/>
        <v>820</v>
      </c>
      <c r="DF59" s="1">
        <f t="shared" si="29"/>
        <v>1256</v>
      </c>
      <c r="DG59" s="1">
        <f t="shared" si="29"/>
        <v>499</v>
      </c>
      <c r="DH59" s="1">
        <f t="shared" si="30"/>
        <v>2026</v>
      </c>
      <c r="DI59" s="1">
        <f t="shared" si="30"/>
        <v>360</v>
      </c>
      <c r="DJ59" s="1">
        <f t="shared" si="30"/>
        <v>167</v>
      </c>
      <c r="DK59" s="1">
        <f t="shared" si="30"/>
        <v>594</v>
      </c>
      <c r="DL59" s="9">
        <f t="shared" si="30"/>
        <v>15906</v>
      </c>
      <c r="DM59" s="1">
        <f t="shared" si="30"/>
        <v>0</v>
      </c>
      <c r="DN59" s="1">
        <f t="shared" si="30"/>
        <v>4</v>
      </c>
      <c r="DO59" s="1">
        <f t="shared" si="30"/>
        <v>815</v>
      </c>
      <c r="DP59" s="1">
        <f t="shared" si="30"/>
        <v>1752</v>
      </c>
      <c r="DQ59" s="1">
        <f t="shared" si="30"/>
        <v>1669</v>
      </c>
      <c r="DR59" s="1">
        <f t="shared" si="31"/>
        <v>134</v>
      </c>
      <c r="DS59" s="1">
        <f t="shared" si="31"/>
        <v>784</v>
      </c>
      <c r="DT59" s="1">
        <f t="shared" si="31"/>
        <v>600</v>
      </c>
      <c r="DU59" s="1">
        <f t="shared" si="31"/>
        <v>1106</v>
      </c>
      <c r="DV59" s="1">
        <f t="shared" si="31"/>
        <v>1230</v>
      </c>
      <c r="DW59" s="1">
        <f t="shared" si="31"/>
        <v>2110</v>
      </c>
      <c r="DX59" s="1">
        <f t="shared" si="31"/>
        <v>819</v>
      </c>
      <c r="DY59" s="1">
        <f t="shared" si="31"/>
        <v>1267</v>
      </c>
      <c r="DZ59" s="1">
        <f t="shared" si="31"/>
        <v>498</v>
      </c>
      <c r="EA59" s="1">
        <f t="shared" si="31"/>
        <v>2055</v>
      </c>
      <c r="EB59" s="1">
        <f t="shared" si="32"/>
        <v>360</v>
      </c>
      <c r="EC59" s="1">
        <f t="shared" si="32"/>
        <v>168</v>
      </c>
      <c r="ED59" s="1">
        <f t="shared" si="32"/>
        <v>595</v>
      </c>
      <c r="EE59" s="9">
        <f t="shared" si="32"/>
        <v>15966</v>
      </c>
      <c r="EF59" s="1">
        <f t="shared" si="32"/>
        <v>0</v>
      </c>
      <c r="EG59" s="1">
        <f t="shared" si="32"/>
        <v>4</v>
      </c>
      <c r="EH59" s="1">
        <f t="shared" si="32"/>
        <v>810</v>
      </c>
      <c r="EI59" s="1">
        <f t="shared" si="32"/>
        <v>1751</v>
      </c>
      <c r="EJ59" s="1">
        <f t="shared" si="32"/>
        <v>1660</v>
      </c>
      <c r="EK59" s="1">
        <f t="shared" si="32"/>
        <v>134</v>
      </c>
      <c r="EL59" s="1">
        <f t="shared" si="33"/>
        <v>785</v>
      </c>
      <c r="EM59" s="1">
        <f t="shared" si="33"/>
        <v>602</v>
      </c>
      <c r="EN59" s="1">
        <f t="shared" si="33"/>
        <v>1106</v>
      </c>
      <c r="EO59" s="1">
        <f t="shared" si="33"/>
        <v>1302</v>
      </c>
      <c r="EP59" s="1">
        <f t="shared" si="33"/>
        <v>2110</v>
      </c>
      <c r="EQ59" s="1">
        <f t="shared" si="33"/>
        <v>806</v>
      </c>
      <c r="ER59" s="1">
        <f t="shared" si="33"/>
        <v>1281</v>
      </c>
      <c r="ES59" s="1">
        <f t="shared" si="33"/>
        <v>497</v>
      </c>
      <c r="ET59" s="1">
        <f t="shared" si="33"/>
        <v>2059</v>
      </c>
      <c r="EU59" s="1">
        <f t="shared" si="33"/>
        <v>360</v>
      </c>
      <c r="EV59" s="1">
        <f t="shared" si="34"/>
        <v>169</v>
      </c>
      <c r="EW59" s="1">
        <f t="shared" si="34"/>
        <v>595</v>
      </c>
      <c r="EX59" s="9">
        <f t="shared" si="34"/>
        <v>16031</v>
      </c>
      <c r="EY59" s="1">
        <f t="shared" si="34"/>
        <v>0</v>
      </c>
      <c r="EZ59" s="1">
        <f t="shared" si="34"/>
        <v>4</v>
      </c>
      <c r="FA59" s="1">
        <f t="shared" si="34"/>
        <v>812</v>
      </c>
      <c r="FB59" s="1">
        <f t="shared" si="34"/>
        <v>1760</v>
      </c>
      <c r="FC59" s="1">
        <f t="shared" si="34"/>
        <v>1660</v>
      </c>
      <c r="FD59" s="1">
        <f t="shared" si="34"/>
        <v>135</v>
      </c>
      <c r="FE59" s="1">
        <f t="shared" si="34"/>
        <v>786</v>
      </c>
      <c r="FF59" s="1">
        <f t="shared" si="35"/>
        <v>599</v>
      </c>
      <c r="FG59" s="1">
        <f t="shared" si="35"/>
        <v>1100</v>
      </c>
      <c r="FH59" s="1">
        <f t="shared" si="35"/>
        <v>1314</v>
      </c>
      <c r="FI59" s="1">
        <f t="shared" si="35"/>
        <v>2110</v>
      </c>
      <c r="FJ59" s="1">
        <f t="shared" si="35"/>
        <v>806</v>
      </c>
      <c r="FK59" s="1">
        <f t="shared" si="35"/>
        <v>1287</v>
      </c>
      <c r="FL59" s="1">
        <f t="shared" si="35"/>
        <v>501</v>
      </c>
      <c r="FM59" s="1">
        <f t="shared" si="35"/>
        <v>2062</v>
      </c>
      <c r="FN59" s="1">
        <f t="shared" si="35"/>
        <v>361</v>
      </c>
      <c r="FO59" s="1">
        <f t="shared" si="35"/>
        <v>173</v>
      </c>
      <c r="FP59" s="1">
        <f t="shared" si="36"/>
        <v>596</v>
      </c>
      <c r="FQ59" s="9">
        <f t="shared" si="36"/>
        <v>16066</v>
      </c>
      <c r="FR59" s="1">
        <f t="shared" si="36"/>
        <v>0</v>
      </c>
      <c r="FS59" s="1">
        <f t="shared" si="36"/>
        <v>4</v>
      </c>
      <c r="FT59" s="1">
        <f t="shared" si="36"/>
        <v>813</v>
      </c>
      <c r="FU59" s="1">
        <f t="shared" si="36"/>
        <v>1724</v>
      </c>
      <c r="FV59" s="1">
        <f t="shared" si="36"/>
        <v>1655</v>
      </c>
      <c r="FW59" s="1">
        <f t="shared" si="36"/>
        <v>138</v>
      </c>
      <c r="FX59" s="1">
        <f t="shared" si="36"/>
        <v>790</v>
      </c>
      <c r="FY59" s="1">
        <f t="shared" si="36"/>
        <v>616</v>
      </c>
      <c r="FZ59" s="1">
        <f t="shared" si="37"/>
        <v>1083</v>
      </c>
      <c r="GA59" s="1">
        <f t="shared" si="37"/>
        <v>1317</v>
      </c>
      <c r="GB59" s="1">
        <f t="shared" si="37"/>
        <v>2122</v>
      </c>
      <c r="GC59" s="1">
        <f t="shared" si="37"/>
        <v>807</v>
      </c>
      <c r="GD59" s="1">
        <f t="shared" si="37"/>
        <v>1297</v>
      </c>
      <c r="GE59" s="1">
        <f t="shared" si="37"/>
        <v>504</v>
      </c>
      <c r="GF59" s="1">
        <f t="shared" si="37"/>
        <v>2072</v>
      </c>
      <c r="GG59" s="1">
        <f t="shared" si="37"/>
        <v>331</v>
      </c>
      <c r="GH59" s="1">
        <f t="shared" si="37"/>
        <v>173</v>
      </c>
      <c r="GI59" s="1">
        <f t="shared" si="37"/>
        <v>598</v>
      </c>
      <c r="GJ59" s="9">
        <f t="shared" si="38"/>
        <v>16044</v>
      </c>
      <c r="GK59" s="1">
        <f t="shared" si="38"/>
        <v>0</v>
      </c>
      <c r="GL59" s="1">
        <f t="shared" si="38"/>
        <v>4</v>
      </c>
      <c r="GM59" s="1">
        <f t="shared" si="38"/>
        <v>811</v>
      </c>
      <c r="GN59" s="1">
        <f t="shared" si="38"/>
        <v>1722</v>
      </c>
      <c r="GO59" s="1">
        <f t="shared" si="38"/>
        <v>1640</v>
      </c>
      <c r="GP59" s="1">
        <f t="shared" si="38"/>
        <v>135</v>
      </c>
      <c r="GQ59" s="1">
        <f t="shared" si="38"/>
        <v>791</v>
      </c>
      <c r="GR59" s="1">
        <f t="shared" si="38"/>
        <v>615</v>
      </c>
      <c r="GS59" s="1">
        <f t="shared" si="38"/>
        <v>1084</v>
      </c>
      <c r="GT59" s="1">
        <f t="shared" si="39"/>
        <v>1348</v>
      </c>
      <c r="GU59" s="1">
        <f t="shared" si="39"/>
        <v>2122</v>
      </c>
      <c r="GV59" s="1">
        <f t="shared" si="39"/>
        <v>803</v>
      </c>
      <c r="GW59" s="1">
        <f t="shared" si="39"/>
        <v>1314</v>
      </c>
      <c r="GX59" s="1">
        <f t="shared" si="39"/>
        <v>502</v>
      </c>
      <c r="GY59" s="1">
        <f t="shared" si="39"/>
        <v>2069</v>
      </c>
      <c r="GZ59" s="1">
        <f t="shared" si="39"/>
        <v>332</v>
      </c>
      <c r="HA59" s="1">
        <f t="shared" si="39"/>
        <v>174</v>
      </c>
      <c r="HB59" s="1">
        <f t="shared" si="39"/>
        <v>607</v>
      </c>
      <c r="HC59" s="9">
        <f t="shared" si="39"/>
        <v>16073</v>
      </c>
      <c r="HD59" s="1">
        <f t="shared" si="40"/>
        <v>0</v>
      </c>
      <c r="HE59" s="1">
        <f t="shared" si="40"/>
        <v>4</v>
      </c>
      <c r="HF59" s="1">
        <f t="shared" si="40"/>
        <v>812</v>
      </c>
      <c r="HG59" s="1">
        <f t="shared" si="40"/>
        <v>1704</v>
      </c>
      <c r="HH59" s="1">
        <f t="shared" si="40"/>
        <v>1638</v>
      </c>
      <c r="HI59" s="1">
        <f t="shared" si="40"/>
        <v>136</v>
      </c>
      <c r="HJ59" s="1">
        <f t="shared" si="40"/>
        <v>789</v>
      </c>
      <c r="HK59" s="1">
        <f t="shared" si="40"/>
        <v>616</v>
      </c>
      <c r="HL59" s="1">
        <f t="shared" si="40"/>
        <v>1085</v>
      </c>
      <c r="HM59" s="1">
        <f t="shared" si="40"/>
        <v>1373</v>
      </c>
      <c r="HN59" s="1">
        <f t="shared" si="41"/>
        <v>2124</v>
      </c>
      <c r="HO59" s="1">
        <f t="shared" si="41"/>
        <v>803</v>
      </c>
      <c r="HP59" s="1">
        <f t="shared" si="41"/>
        <v>1300</v>
      </c>
      <c r="HQ59" s="1">
        <f t="shared" si="41"/>
        <v>498</v>
      </c>
      <c r="HR59" s="1">
        <f t="shared" si="41"/>
        <v>2067</v>
      </c>
      <c r="HS59" s="1">
        <f t="shared" si="41"/>
        <v>332</v>
      </c>
      <c r="HT59" s="1">
        <f t="shared" si="41"/>
        <v>174</v>
      </c>
      <c r="HU59" s="1">
        <f t="shared" si="41"/>
        <v>597</v>
      </c>
      <c r="HV59" s="9">
        <f t="shared" si="41"/>
        <v>16052</v>
      </c>
      <c r="HW59" s="1">
        <f t="shared" si="0"/>
        <v>191277</v>
      </c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</row>
    <row r="61" spans="1:249" hidden="1" x14ac:dyDescent="0.4"/>
    <row r="62" spans="1:249" hidden="1" x14ac:dyDescent="0.4"/>
    <row r="65" hidden="1" x14ac:dyDescent="0.4"/>
    <row r="66" hidden="1" x14ac:dyDescent="0.4"/>
    <row r="71" hidden="1" x14ac:dyDescent="0.4"/>
    <row r="72" hidden="1" x14ac:dyDescent="0.4"/>
    <row r="74" hidden="1" x14ac:dyDescent="0.4"/>
    <row r="75" hidden="1" x14ac:dyDescent="0.4"/>
    <row r="77" hidden="1" x14ac:dyDescent="0.4"/>
    <row r="78" hidden="1" x14ac:dyDescent="0.4"/>
    <row r="84" hidden="1" x14ac:dyDescent="0.4"/>
    <row r="85" hidden="1" x14ac:dyDescent="0.4"/>
    <row r="86" hidden="1" x14ac:dyDescent="0.4"/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대수</vt:lpstr>
      <vt:lpstr>단가</vt:lpstr>
      <vt:lpstr>단가_25</vt:lpstr>
      <vt:lpstr>대수_25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권혁준/KWON HYUK JOON</dc:creator>
  <cp:lastModifiedBy>권혁준/KWON HYUK JOON</cp:lastModifiedBy>
  <cp:lastPrinted>2026-06-11T06:17:27Z</cp:lastPrinted>
  <dcterms:created xsi:type="dcterms:W3CDTF">2026-02-25T02:21:22Z</dcterms:created>
  <dcterms:modified xsi:type="dcterms:W3CDTF">2026-06-14T10:50:09Z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fd51960-f5ab-455f-8de0-bc0d6c02aaf3_Enabled">
    <vt:lpwstr>true</vt:lpwstr>
  </property>
  <property fmtid="{D5CDD505-2E9C-101B-9397-08002B2CF9AE}" pid="3" name="MSIP_Label_1fd51960-f5ab-455f-8de0-bc0d6c02aaf3_SetDate">
    <vt:lpwstr>2026-03-02T01:16:37Z</vt:lpwstr>
  </property>
  <property fmtid="{D5CDD505-2E9C-101B-9397-08002B2CF9AE}" pid="4" name="MSIP_Label_1fd51960-f5ab-455f-8de0-bc0d6c02aaf3_Method">
    <vt:lpwstr>Privileged</vt:lpwstr>
  </property>
  <property fmtid="{D5CDD505-2E9C-101B-9397-08002B2CF9AE}" pid="5" name="MSIP_Label_1fd51960-f5ab-455f-8de0-bc0d6c02aaf3_Name">
    <vt:lpwstr>Public</vt:lpwstr>
  </property>
  <property fmtid="{D5CDD505-2E9C-101B-9397-08002B2CF9AE}" pid="6" name="MSIP_Label_1fd51960-f5ab-455f-8de0-bc0d6c02aaf3_SiteId">
    <vt:lpwstr>f8d5ac98-8fa9-4355-8cd9-84f322fb0a78</vt:lpwstr>
  </property>
  <property fmtid="{D5CDD505-2E9C-101B-9397-08002B2CF9AE}" pid="7" name="MSIP_Label_1fd51960-f5ab-455f-8de0-bc0d6c02aaf3_ActionId">
    <vt:lpwstr>30056d3d-ea23-480a-b6b2-9c79a204374b</vt:lpwstr>
  </property>
  <property fmtid="{D5CDD505-2E9C-101B-9397-08002B2CF9AE}" pid="8" name="MSIP_Label_1fd51960-f5ab-455f-8de0-bc0d6c02aaf3_ContentBits">
    <vt:lpwstr>0</vt:lpwstr>
  </property>
</Properties>
</file>